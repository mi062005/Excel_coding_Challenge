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2"/>
  </bookViews>
  <sheets>
    <sheet name="Sheet3" sheetId="6" r:id="rId1"/>
    <sheet name="Sheet2" sheetId="5" r:id="rId2"/>
    <sheet name="dataset" sheetId="2" r:id="rId3"/>
    <sheet name="observation" sheetId="3" r:id="rId4"/>
  </sheet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C2" i="2"/>
  <c r="M2" i="2" s="1"/>
  <c r="C3" i="2"/>
  <c r="M3" i="2" s="1"/>
  <c r="C4" i="2"/>
  <c r="M4" i="2" s="1"/>
  <c r="C5" i="2"/>
  <c r="M5" i="2" s="1"/>
  <c r="C6" i="2"/>
  <c r="M6" i="2" s="1"/>
  <c r="C7" i="2"/>
  <c r="M7" i="2" s="1"/>
  <c r="C8" i="2"/>
  <c r="M8" i="2" s="1"/>
  <c r="C9" i="2"/>
  <c r="M9" i="2" s="1"/>
  <c r="C10" i="2"/>
  <c r="M10" i="2" s="1"/>
  <c r="C11" i="2"/>
  <c r="M11" i="2" s="1"/>
  <c r="C12" i="2"/>
  <c r="M12" i="2" s="1"/>
  <c r="C13" i="2"/>
  <c r="M13" i="2" s="1"/>
  <c r="C14" i="2"/>
  <c r="M14" i="2" s="1"/>
  <c r="C15" i="2"/>
  <c r="M15" i="2" s="1"/>
  <c r="C16" i="2"/>
  <c r="M16" i="2" s="1"/>
  <c r="C17" i="2"/>
  <c r="M17" i="2" s="1"/>
  <c r="C18" i="2"/>
  <c r="M18" i="2" s="1"/>
  <c r="C19" i="2"/>
  <c r="M19" i="2" s="1"/>
  <c r="C20" i="2"/>
  <c r="M20" i="2" s="1"/>
  <c r="C21" i="2"/>
  <c r="M21" i="2" s="1"/>
  <c r="C22" i="2"/>
  <c r="M22" i="2" s="1"/>
  <c r="C23" i="2"/>
  <c r="M23" i="2" s="1"/>
  <c r="C24" i="2"/>
  <c r="M24" i="2" s="1"/>
  <c r="C25" i="2"/>
  <c r="M25" i="2" s="1"/>
  <c r="C26" i="2"/>
  <c r="M26" i="2" s="1"/>
  <c r="C27" i="2"/>
  <c r="M27" i="2" s="1"/>
  <c r="C28" i="2"/>
  <c r="M28" i="2" s="1"/>
  <c r="C29" i="2"/>
  <c r="M29" i="2" s="1"/>
  <c r="C30" i="2"/>
  <c r="M30" i="2" s="1"/>
  <c r="C31" i="2"/>
  <c r="M31" i="2" s="1"/>
  <c r="C32" i="2"/>
  <c r="M32" i="2" s="1"/>
  <c r="C33" i="2"/>
  <c r="M33" i="2" s="1"/>
  <c r="C34" i="2"/>
  <c r="M34" i="2" s="1"/>
  <c r="C35" i="2"/>
  <c r="M35" i="2" s="1"/>
  <c r="C36" i="2"/>
  <c r="M36" i="2" s="1"/>
  <c r="C37" i="2"/>
  <c r="M37" i="2" s="1"/>
  <c r="C38" i="2"/>
  <c r="M38" i="2" s="1"/>
  <c r="C39" i="2"/>
  <c r="M39" i="2" s="1"/>
  <c r="C40" i="2"/>
  <c r="M40" i="2" s="1"/>
  <c r="C41" i="2"/>
  <c r="M41" i="2" s="1"/>
  <c r="C42" i="2"/>
  <c r="M42" i="2" s="1"/>
  <c r="C43" i="2"/>
  <c r="M43" i="2" s="1"/>
  <c r="C44" i="2"/>
  <c r="M44" i="2" s="1"/>
  <c r="C45" i="2"/>
  <c r="M45" i="2" s="1"/>
  <c r="C46" i="2"/>
  <c r="M46" i="2" s="1"/>
  <c r="C47" i="2"/>
  <c r="M47" i="2" s="1"/>
  <c r="C48" i="2"/>
  <c r="M48" i="2" s="1"/>
  <c r="C49" i="2"/>
  <c r="M49" i="2" s="1"/>
  <c r="C50" i="2"/>
  <c r="M50" i="2" s="1"/>
  <c r="C51" i="2"/>
  <c r="M51" i="2" s="1"/>
  <c r="C52" i="2"/>
  <c r="M52" i="2" s="1"/>
  <c r="C53" i="2"/>
  <c r="M53" i="2" s="1"/>
  <c r="C54" i="2"/>
  <c r="M54" i="2" s="1"/>
  <c r="C55" i="2"/>
  <c r="M55" i="2" s="1"/>
  <c r="C56" i="2"/>
  <c r="M56" i="2" s="1"/>
  <c r="C57" i="2"/>
  <c r="M57" i="2" s="1"/>
  <c r="C58" i="2"/>
  <c r="M58" i="2" s="1"/>
  <c r="C59" i="2"/>
  <c r="M59" i="2" s="1"/>
  <c r="C60" i="2"/>
  <c r="M60" i="2" s="1"/>
  <c r="C61" i="2"/>
  <c r="M61" i="2" s="1"/>
  <c r="C62" i="2"/>
  <c r="M62" i="2" s="1"/>
  <c r="C63" i="2"/>
  <c r="M63" i="2" s="1"/>
  <c r="C64" i="2"/>
  <c r="M64" i="2" s="1"/>
  <c r="C65" i="2"/>
  <c r="M65" i="2" s="1"/>
  <c r="C66" i="2"/>
  <c r="M66" i="2" s="1"/>
  <c r="C67" i="2"/>
  <c r="M67" i="2" s="1"/>
  <c r="C68" i="2"/>
  <c r="M68" i="2" s="1"/>
  <c r="C69" i="2"/>
  <c r="M69" i="2" s="1"/>
  <c r="C70" i="2"/>
  <c r="M70" i="2" s="1"/>
  <c r="C71" i="2"/>
  <c r="M71" i="2" s="1"/>
  <c r="C72" i="2"/>
  <c r="M72" i="2" s="1"/>
  <c r="C73" i="2"/>
  <c r="M73" i="2" s="1"/>
  <c r="C74" i="2"/>
  <c r="M74" i="2" s="1"/>
  <c r="C75" i="2"/>
  <c r="M75" i="2" s="1"/>
  <c r="C76" i="2"/>
  <c r="M76" i="2" s="1"/>
  <c r="C77" i="2"/>
  <c r="M77" i="2" s="1"/>
  <c r="C78" i="2"/>
  <c r="M78" i="2" s="1"/>
  <c r="C79" i="2"/>
  <c r="M79" i="2" s="1"/>
  <c r="C80" i="2"/>
  <c r="M80" i="2" s="1"/>
  <c r="C81" i="2"/>
  <c r="M81" i="2" s="1"/>
  <c r="C82" i="2"/>
  <c r="M82" i="2" s="1"/>
  <c r="C83" i="2"/>
  <c r="M83" i="2" s="1"/>
  <c r="C84" i="2"/>
  <c r="M84" i="2" s="1"/>
  <c r="C85" i="2"/>
  <c r="M85" i="2" s="1"/>
  <c r="C86" i="2"/>
  <c r="M86" i="2" s="1"/>
  <c r="C87" i="2"/>
  <c r="M87" i="2" s="1"/>
  <c r="C88" i="2"/>
  <c r="M88" i="2" s="1"/>
  <c r="C89" i="2"/>
  <c r="M89" i="2" s="1"/>
  <c r="C90" i="2"/>
  <c r="M90" i="2" s="1"/>
  <c r="C91" i="2"/>
  <c r="M91" i="2" s="1"/>
  <c r="C92" i="2"/>
  <c r="M92" i="2" s="1"/>
  <c r="C93" i="2"/>
  <c r="M93" i="2" s="1"/>
  <c r="C94" i="2"/>
  <c r="M94" i="2" s="1"/>
  <c r="C95" i="2"/>
  <c r="M95" i="2" s="1"/>
  <c r="C96" i="2"/>
  <c r="M96" i="2" s="1"/>
  <c r="C97" i="2"/>
  <c r="M97" i="2" s="1"/>
  <c r="C98" i="2"/>
  <c r="M98" i="2" s="1"/>
  <c r="C99" i="2"/>
  <c r="M99" i="2" s="1"/>
  <c r="C100" i="2"/>
  <c r="M100" i="2" s="1"/>
  <c r="C101" i="2"/>
  <c r="M101" i="2" s="1"/>
  <c r="C102" i="2"/>
  <c r="M102" i="2" s="1"/>
  <c r="C103" i="2"/>
  <c r="M103" i="2" s="1"/>
  <c r="C104" i="2"/>
  <c r="M104" i="2" s="1"/>
  <c r="C105" i="2"/>
  <c r="M105" i="2" s="1"/>
  <c r="C106" i="2"/>
  <c r="M106" i="2" s="1"/>
  <c r="C107" i="2"/>
  <c r="M107" i="2" s="1"/>
  <c r="C108" i="2"/>
  <c r="M108" i="2" s="1"/>
  <c r="C109" i="2"/>
  <c r="M109" i="2" s="1"/>
  <c r="C110" i="2"/>
  <c r="M110" i="2" s="1"/>
  <c r="C111" i="2"/>
  <c r="M111" i="2" s="1"/>
  <c r="C112" i="2"/>
  <c r="M112" i="2" s="1"/>
  <c r="C113" i="2"/>
  <c r="M113" i="2" s="1"/>
  <c r="C114" i="2"/>
  <c r="M114" i="2" s="1"/>
  <c r="C115" i="2"/>
  <c r="M115" i="2" s="1"/>
  <c r="C116" i="2"/>
  <c r="M116" i="2" s="1"/>
  <c r="C117" i="2"/>
  <c r="M117" i="2" s="1"/>
  <c r="C118" i="2"/>
  <c r="M118" i="2" s="1"/>
  <c r="C119" i="2"/>
  <c r="M119" i="2" s="1"/>
  <c r="C120" i="2"/>
  <c r="M120" i="2" s="1"/>
  <c r="C121" i="2"/>
  <c r="M121" i="2" s="1"/>
  <c r="C122" i="2"/>
  <c r="M122" i="2" s="1"/>
  <c r="C123" i="2"/>
  <c r="M123" i="2" s="1"/>
  <c r="C124" i="2"/>
  <c r="M124" i="2" s="1"/>
  <c r="C125" i="2"/>
  <c r="M125" i="2" s="1"/>
  <c r="C126" i="2"/>
  <c r="M126" i="2" s="1"/>
  <c r="C127" i="2"/>
  <c r="M127" i="2" s="1"/>
  <c r="C128" i="2"/>
  <c r="M128" i="2" s="1"/>
  <c r="C129" i="2"/>
  <c r="M129" i="2" s="1"/>
  <c r="C130" i="2"/>
  <c r="M130" i="2" s="1"/>
  <c r="C131" i="2"/>
  <c r="M131" i="2" s="1"/>
  <c r="C132" i="2"/>
  <c r="M132" i="2" s="1"/>
  <c r="C133" i="2"/>
  <c r="M133" i="2" s="1"/>
  <c r="C134" i="2"/>
  <c r="M134" i="2" s="1"/>
  <c r="C135" i="2"/>
  <c r="M135" i="2" s="1"/>
  <c r="C136" i="2"/>
  <c r="M136" i="2" s="1"/>
  <c r="C137" i="2"/>
  <c r="M137" i="2" s="1"/>
  <c r="C138" i="2"/>
  <c r="M138" i="2" s="1"/>
  <c r="C139" i="2"/>
  <c r="M139" i="2" s="1"/>
  <c r="C140" i="2"/>
  <c r="M140" i="2" s="1"/>
  <c r="C141" i="2"/>
  <c r="M141" i="2" s="1"/>
  <c r="C142" i="2"/>
  <c r="M142" i="2" s="1"/>
  <c r="C143" i="2"/>
  <c r="M143" i="2" s="1"/>
  <c r="C144" i="2"/>
  <c r="M144" i="2" s="1"/>
  <c r="C145" i="2"/>
  <c r="M145" i="2" s="1"/>
  <c r="C146" i="2"/>
  <c r="M146" i="2" s="1"/>
  <c r="C147" i="2"/>
  <c r="M147" i="2" s="1"/>
  <c r="C148" i="2"/>
  <c r="M148" i="2" s="1"/>
  <c r="C149" i="2"/>
  <c r="M149" i="2" s="1"/>
  <c r="C150" i="2"/>
  <c r="M150" i="2" s="1"/>
  <c r="C151" i="2"/>
  <c r="M151" i="2" s="1"/>
  <c r="O36" i="2" l="1"/>
  <c r="O35" i="2"/>
  <c r="O18" i="2"/>
  <c r="O145" i="2"/>
  <c r="O137" i="2"/>
  <c r="O129" i="2"/>
  <c r="O121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O9" i="2"/>
  <c r="O132" i="2"/>
  <c r="O108" i="2"/>
  <c r="O84" i="2"/>
  <c r="O28" i="2"/>
  <c r="O131" i="2"/>
  <c r="O107" i="2"/>
  <c r="O75" i="2"/>
  <c r="O59" i="2"/>
  <c r="O51" i="2"/>
  <c r="O43" i="2"/>
  <c r="O19" i="2"/>
  <c r="O138" i="2"/>
  <c r="O122" i="2"/>
  <c r="O114" i="2"/>
  <c r="O98" i="2"/>
  <c r="O90" i="2"/>
  <c r="O74" i="2"/>
  <c r="O66" i="2"/>
  <c r="O58" i="2"/>
  <c r="O50" i="2"/>
  <c r="O42" i="2"/>
  <c r="O34" i="2"/>
  <c r="O26" i="2"/>
  <c r="O2" i="2"/>
  <c r="O144" i="2"/>
  <c r="O136" i="2"/>
  <c r="O128" i="2"/>
  <c r="O120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148" i="2"/>
  <c r="O100" i="2"/>
  <c r="O60" i="2"/>
  <c r="O4" i="2"/>
  <c r="O139" i="2"/>
  <c r="O115" i="2"/>
  <c r="O91" i="2"/>
  <c r="O67" i="2"/>
  <c r="O3" i="2"/>
  <c r="O146" i="2"/>
  <c r="O130" i="2"/>
  <c r="O106" i="2"/>
  <c r="O82" i="2"/>
  <c r="O10" i="2"/>
  <c r="O151" i="2"/>
  <c r="O143" i="2"/>
  <c r="O135" i="2"/>
  <c r="O127" i="2"/>
  <c r="O119" i="2"/>
  <c r="O111" i="2"/>
  <c r="O103" i="2"/>
  <c r="O95" i="2"/>
  <c r="O87" i="2"/>
  <c r="O79" i="2"/>
  <c r="O71" i="2"/>
  <c r="O63" i="2"/>
  <c r="O55" i="2"/>
  <c r="O47" i="2"/>
  <c r="O39" i="2"/>
  <c r="O31" i="2"/>
  <c r="O23" i="2"/>
  <c r="O15" i="2"/>
  <c r="O7" i="2"/>
  <c r="O124" i="2"/>
  <c r="O20" i="2"/>
  <c r="O27" i="2"/>
  <c r="O150" i="2"/>
  <c r="O142" i="2"/>
  <c r="O134" i="2"/>
  <c r="O126" i="2"/>
  <c r="O118" i="2"/>
  <c r="O110" i="2"/>
  <c r="O102" i="2"/>
  <c r="O94" i="2"/>
  <c r="O86" i="2"/>
  <c r="O78" i="2"/>
  <c r="O70" i="2"/>
  <c r="O62" i="2"/>
  <c r="O54" i="2"/>
  <c r="O46" i="2"/>
  <c r="O38" i="2"/>
  <c r="O30" i="2"/>
  <c r="O22" i="2"/>
  <c r="O14" i="2"/>
  <c r="O6" i="2"/>
  <c r="O140" i="2"/>
  <c r="O116" i="2"/>
  <c r="O92" i="2"/>
  <c r="O76" i="2"/>
  <c r="O68" i="2"/>
  <c r="O52" i="2"/>
  <c r="O44" i="2"/>
  <c r="O12" i="2"/>
  <c r="O147" i="2"/>
  <c r="O123" i="2"/>
  <c r="O99" i="2"/>
  <c r="O83" i="2"/>
  <c r="O11" i="2"/>
  <c r="O149" i="2"/>
  <c r="O141" i="2"/>
  <c r="O133" i="2"/>
  <c r="O125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N145" i="2"/>
  <c r="N129" i="2"/>
  <c r="N113" i="2"/>
  <c r="N97" i="2"/>
  <c r="N73" i="2"/>
  <c r="N57" i="2"/>
  <c r="N49" i="2"/>
  <c r="N41" i="2"/>
  <c r="N33" i="2"/>
  <c r="N9" i="2"/>
  <c r="N144" i="2"/>
  <c r="N112" i="2"/>
  <c r="N80" i="2"/>
  <c r="N16" i="2"/>
  <c r="N143" i="2"/>
  <c r="N119" i="2"/>
  <c r="N95" i="2"/>
  <c r="N79" i="2"/>
  <c r="N71" i="2"/>
  <c r="N55" i="2"/>
  <c r="N47" i="2"/>
  <c r="N39" i="2"/>
  <c r="N31" i="2"/>
  <c r="N7" i="2"/>
  <c r="N126" i="2"/>
  <c r="N102" i="2"/>
  <c r="N86" i="2"/>
  <c r="N70" i="2"/>
  <c r="N54" i="2"/>
  <c r="N46" i="2"/>
  <c r="N38" i="2"/>
  <c r="N30" i="2"/>
  <c r="N6" i="2"/>
  <c r="N141" i="2"/>
  <c r="N117" i="2"/>
  <c r="N85" i="2"/>
  <c r="N77" i="2"/>
  <c r="N53" i="2"/>
  <c r="N45" i="2"/>
  <c r="N37" i="2"/>
  <c r="N29" i="2"/>
  <c r="N13" i="2"/>
  <c r="N148" i="2"/>
  <c r="N140" i="2"/>
  <c r="N132" i="2"/>
  <c r="N124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4" i="2"/>
  <c r="N137" i="2"/>
  <c r="N105" i="2"/>
  <c r="N89" i="2"/>
  <c r="N81" i="2"/>
  <c r="N65" i="2"/>
  <c r="N17" i="2"/>
  <c r="N128" i="2"/>
  <c r="N104" i="2"/>
  <c r="N88" i="2"/>
  <c r="N64" i="2"/>
  <c r="N48" i="2"/>
  <c r="N40" i="2"/>
  <c r="N32" i="2"/>
  <c r="N8" i="2"/>
  <c r="N135" i="2"/>
  <c r="N103" i="2"/>
  <c r="N23" i="2"/>
  <c r="N142" i="2"/>
  <c r="N134" i="2"/>
  <c r="N118" i="2"/>
  <c r="N94" i="2"/>
  <c r="N78" i="2"/>
  <c r="N62" i="2"/>
  <c r="N14" i="2"/>
  <c r="N133" i="2"/>
  <c r="N109" i="2"/>
  <c r="N93" i="2"/>
  <c r="N61" i="2"/>
  <c r="N5" i="2"/>
  <c r="N147" i="2"/>
  <c r="N139" i="2"/>
  <c r="N131" i="2"/>
  <c r="N123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" i="2"/>
  <c r="N121" i="2"/>
  <c r="N25" i="2"/>
  <c r="N136" i="2"/>
  <c r="N120" i="2"/>
  <c r="N96" i="2"/>
  <c r="N72" i="2"/>
  <c r="N56" i="2"/>
  <c r="N24" i="2"/>
  <c r="N151" i="2"/>
  <c r="N127" i="2"/>
  <c r="N111" i="2"/>
  <c r="N87" i="2"/>
  <c r="N63" i="2"/>
  <c r="N15" i="2"/>
  <c r="N150" i="2"/>
  <c r="N110" i="2"/>
  <c r="N22" i="2"/>
  <c r="N149" i="2"/>
  <c r="N125" i="2"/>
  <c r="N101" i="2"/>
  <c r="N69" i="2"/>
  <c r="N21" i="2"/>
  <c r="N146" i="2"/>
  <c r="N138" i="2"/>
  <c r="N130" i="2"/>
  <c r="N122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N10" i="2"/>
  <c r="N2" i="2"/>
  <c r="G157" i="2"/>
  <c r="G158" i="2"/>
  <c r="G159" i="2"/>
</calcChain>
</file>

<file path=xl/sharedStrings.xml><?xml version="1.0" encoding="utf-8"?>
<sst xmlns="http://schemas.openxmlformats.org/spreadsheetml/2006/main" count="1086" uniqueCount="344">
  <si>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</si>
  <si>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</si>
  <si>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</si>
  <si>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</si>
  <si>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</si>
  <si>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</si>
  <si>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</si>
  <si>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</si>
  <si>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</si>
  <si>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</si>
  <si>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</si>
  <si>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</si>
  <si>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</si>
  <si>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</si>
  <si>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</si>
  <si>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</si>
  <si>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</si>
  <si>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</si>
  <si>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</si>
  <si>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</si>
  <si>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</si>
  <si>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</si>
  <si>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</si>
  <si>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</si>
  <si>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</si>
  <si>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</si>
  <si>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</si>
  <si>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</si>
  <si>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</si>
  <si>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</si>
  <si>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</si>
  <si>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</si>
  <si>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</si>
  <si>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</si>
  <si>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</si>
  <si>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</si>
  <si>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</si>
  <si>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</si>
  <si>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</si>
  <si>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</si>
  <si>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</si>
  <si>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</si>
  <si>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</si>
  <si>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</si>
  <si>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</si>
  <si>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</si>
  <si>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</si>
  <si>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</si>
  <si>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</si>
  <si>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</si>
  <si>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</si>
  <si>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</si>
  <si>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</si>
  <si>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</si>
  <si>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</si>
  <si>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</si>
  <si>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</si>
  <si>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</si>
  <si>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</si>
  <si>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</si>
  <si>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</si>
  <si>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</si>
  <si>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</si>
  <si>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</si>
  <si>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</si>
  <si>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</si>
  <si>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</si>
  <si>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</si>
  <si>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</si>
  <si>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</si>
  <si>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</si>
  <si>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</si>
  <si>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</si>
  <si>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</si>
  <si>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</si>
  <si>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</si>
  <si>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</si>
  <si>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</si>
  <si>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</si>
  <si>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</si>
  <si>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</si>
  <si>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</si>
  <si>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</si>
  <si>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</si>
  <si>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</si>
  <si>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</si>
  <si>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</si>
  <si>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</si>
  <si>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</si>
  <si>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</si>
  <si>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</si>
  <si>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</si>
  <si>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</si>
  <si>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</si>
  <si>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</si>
  <si>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</si>
  <si>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</si>
  <si>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</si>
  <si>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</si>
  <si>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</si>
  <si>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</si>
  <si>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</si>
  <si>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</si>
  <si>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</si>
  <si>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</si>
  <si>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</si>
  <si>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</si>
  <si>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</si>
  <si>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</si>
  <si>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</si>
  <si>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</si>
  <si>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</si>
  <si>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</si>
  <si>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</si>
  <si>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</si>
  <si>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</si>
  <si>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</si>
  <si>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</si>
  <si>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</si>
  <si>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</si>
  <si>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</si>
  <si>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</si>
  <si>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</si>
  <si>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</si>
  <si>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</si>
  <si>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</si>
  <si>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</si>
  <si>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</si>
  <si>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</si>
  <si>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</si>
  <si>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</si>
  <si>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</si>
  <si>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</si>
  <si>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</si>
  <si>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</si>
  <si>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</si>
  <si>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</si>
  <si>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</si>
  <si>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</si>
  <si>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</si>
  <si>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</si>
  <si>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</si>
  <si>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</si>
  <si>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</si>
  <si>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</si>
  <si>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</si>
  <si>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</si>
  <si>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</si>
  <si>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</si>
  <si>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</si>
  <si>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</si>
  <si>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</si>
  <si>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</si>
  <si>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</si>
  <si>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</si>
  <si>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</si>
  <si>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</si>
  <si>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</si>
  <si>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</si>
  <si>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</si>
  <si>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</si>
  <si>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</si>
  <si>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</si>
  <si>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</si>
  <si>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</si>
  <si>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</si>
  <si>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</si>
  <si>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</si>
  <si>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</si>
  <si>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</si>
  <si>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</si>
  <si>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</si>
  <si>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</si>
  <si>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</si>
  <si>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</si>
  <si>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</si>
  <si>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</si>
  <si>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</si>
  <si>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</si>
  <si>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</si>
  <si>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</si>
  <si>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</si>
  <si>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</si>
  <si>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</si>
  <si>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</si>
  <si>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</si>
  <si>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</si>
  <si>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</si>
  <si>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</si>
  <si>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</si>
  <si>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</si>
  <si>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</si>
  <si>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</si>
  <si>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</si>
  <si>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</si>
  <si>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</si>
  <si>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</si>
  <si>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</si>
  <si>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</si>
  <si>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</si>
  <si>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</si>
  <si>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</si>
  <si>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</si>
  <si>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</si>
  <si>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</si>
  <si>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</si>
  <si>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</si>
  <si>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</si>
  <si>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</si>
  <si>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</si>
  <si>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</si>
  <si>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</si>
  <si>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</si>
  <si>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</si>
  <si>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</si>
  <si>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</si>
  <si>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</si>
  <si>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</si>
  <si>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</si>
  <si>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</si>
  <si>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</si>
  <si>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</si>
  <si>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</si>
  <si>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</si>
  <si>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</si>
  <si>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</si>
  <si>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</si>
  <si>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</si>
  <si>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</si>
  <si>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</si>
  <si>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</si>
  <si>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</si>
  <si>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</si>
  <si>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</si>
  <si>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</si>
  <si>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</si>
  <si>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</si>
  <si>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</si>
  <si>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</si>
  <si>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</si>
  <si>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</si>
  <si>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</si>
  <si>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</si>
  <si>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</si>
  <si>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</si>
  <si>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</si>
  <si>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</si>
  <si>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</si>
  <si>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</si>
  <si>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</si>
  <si>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</si>
  <si>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</si>
  <si>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</si>
  <si>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</si>
  <si>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</si>
  <si>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</si>
  <si>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</si>
  <si>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</si>
  <si>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</si>
  <si>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</si>
  <si>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</si>
  <si>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</si>
  <si>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</si>
  <si>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</si>
  <si>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</si>
  <si>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</si>
  <si>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</si>
  <si>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</si>
  <si>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</si>
  <si>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</si>
  <si>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</si>
  <si>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</si>
  <si>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</si>
  <si>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</si>
  <si>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ANSWER TABLE</t>
  </si>
  <si>
    <t>ANSWER</t>
  </si>
  <si>
    <t>QUESTION</t>
  </si>
  <si>
    <t>EMPLOYEES WITH  SALARY &gt;10000</t>
  </si>
  <si>
    <t>TOTAL SALARY &gt;10000</t>
  </si>
  <si>
    <t>AVERAGE SALARY &gt;10000</t>
  </si>
  <si>
    <t>FORMULAS</t>
  </si>
  <si>
    <t>COUNTIF()</t>
  </si>
  <si>
    <t>SUMIF()</t>
  </si>
  <si>
    <t>AVERAGEIF()</t>
  </si>
  <si>
    <t>OBSERVATION</t>
  </si>
  <si>
    <t>1. All salary records are above 10000.</t>
  </si>
  <si>
    <t>2. Conditional formulas worked successfully.</t>
  </si>
  <si>
    <t>3. Employees can be categorized as high or low salary.</t>
  </si>
  <si>
    <t>4. Business insights were generated using COUNTIF, SUMIF, and AVERAGEIF.</t>
  </si>
  <si>
    <t>Left</t>
  </si>
  <si>
    <t>Name2</t>
  </si>
  <si>
    <t>Mid</t>
  </si>
  <si>
    <t>Right</t>
  </si>
  <si>
    <t>Upper</t>
  </si>
  <si>
    <t>Lower</t>
  </si>
  <si>
    <t>Proper</t>
  </si>
  <si>
    <t>Row Labels</t>
  </si>
  <si>
    <t>Grand Total</t>
  </si>
  <si>
    <t>Count of Date of Joining</t>
  </si>
  <si>
    <t>(blank)</t>
  </si>
  <si>
    <t>Count of Performance Rating</t>
  </si>
  <si>
    <t>EMP</t>
  </si>
  <si>
    <t>1147</t>
  </si>
  <si>
    <t>BOB JOHNSON</t>
  </si>
  <si>
    <t>bob johnson</t>
  </si>
  <si>
    <t>1145</t>
  </si>
  <si>
    <t>SAM WILSON</t>
  </si>
  <si>
    <t>sam wilson</t>
  </si>
  <si>
    <t>1143</t>
  </si>
  <si>
    <t>CHRIS LEE</t>
  </si>
  <si>
    <t>chris lee</t>
  </si>
  <si>
    <t>1003</t>
  </si>
  <si>
    <t>JOHN DOE</t>
  </si>
  <si>
    <t>john doe</t>
  </si>
  <si>
    <t>1004</t>
  </si>
  <si>
    <t>JANE SMITH</t>
  </si>
  <si>
    <t>jane smith</t>
  </si>
  <si>
    <t>1140</t>
  </si>
  <si>
    <t>1006</t>
  </si>
  <si>
    <t>1130</t>
  </si>
  <si>
    <t>ALICE BROWN</t>
  </si>
  <si>
    <t>alice brown</t>
  </si>
  <si>
    <t>1128</t>
  </si>
  <si>
    <t>1122</t>
  </si>
  <si>
    <t>1121</t>
  </si>
  <si>
    <t>1119</t>
  </si>
  <si>
    <t>EVE ADAMS</t>
  </si>
  <si>
    <t>eve adams</t>
  </si>
  <si>
    <t>1012</t>
  </si>
  <si>
    <t>1118</t>
  </si>
  <si>
    <t>1110</t>
  </si>
  <si>
    <t>1083</t>
  </si>
  <si>
    <t>1081</t>
  </si>
  <si>
    <t>1079</t>
  </si>
  <si>
    <t/>
  </si>
  <si>
    <t>1075</t>
  </si>
  <si>
    <t>1073</t>
  </si>
  <si>
    <t>1070</t>
  </si>
  <si>
    <t>1067</t>
  </si>
  <si>
    <t>1056</t>
  </si>
  <si>
    <t>1051</t>
  </si>
  <si>
    <t>1034</t>
  </si>
  <si>
    <t>1026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</si>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</sst>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6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22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2" borderId="9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4" fillId="0" borderId="0" xfId="0" applyNumberFormat="1" applyFont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6211.563655902777" createdVersion="6" refreshedVersion="6" minRefreshableVersion="3" recordCount="150">
  <cacheSource type="worksheet">
    <worksheetSource name="Table13"/>
  </cacheSource>
  <cacheFields count="15">
    <cacheField name="Employee ID" numFmtId="0">
      <sharedItems/>
    </cacheField>
    <cacheField name="Name" numFmtId="0">
      <sharedItems containsBlank="1"/>
    </cacheField>
    <cacheField name="Name2" numFmtId="0">
      <sharedItems count="8">
        <s v="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Salary" numFmtId="0">
      <sharedItems containsMixedTypes="1" containsNumber="1" containsInteger="1" minValue="30280" maxValue="99621" count="143">
        <s v="N/A"/>
        <n v="54255"/>
        <n v="63184"/>
        <n v="94406"/>
        <n v="64120"/>
        <n v="78421"/>
        <n v="67721"/>
        <n v="35364"/>
        <n v="97881"/>
        <n v="91846"/>
        <n v="64247"/>
        <n v="91180"/>
        <n v="96418"/>
        <n v="62158"/>
        <n v="59894"/>
        <n v="92443"/>
        <n v="90271"/>
        <n v="41341"/>
        <n v="73602"/>
        <n v="67531"/>
        <n v="98922"/>
        <n v="38333"/>
        <n v="36515"/>
        <n v="91005"/>
        <n v="52272"/>
        <n v="76518"/>
        <n v="41448"/>
        <n v="49282"/>
        <n v="92959"/>
        <n v="92259"/>
        <n v="92299"/>
        <n v="95586"/>
        <n v="95367"/>
        <n v="79549"/>
        <n v="54463"/>
        <n v="89781"/>
        <n v="64796"/>
        <n v="52093"/>
        <n v="48224"/>
        <n v="33956"/>
        <n v="64913"/>
        <n v="35326"/>
        <n v="81610"/>
        <n v="58962"/>
        <n v="92701"/>
        <n v="58245"/>
        <n v="66513"/>
        <n v="78720"/>
        <n v="30686"/>
        <n v="39423"/>
        <n v="30280"/>
        <n v="33352"/>
        <n v="75633"/>
        <n v="74815"/>
        <n v="60011"/>
        <n v="96949"/>
        <n v="84924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6142"/>
        <n v="94301"/>
        <n v="69166"/>
        <n v="78245"/>
        <n v="66079"/>
        <n v="95621"/>
        <n v="42262"/>
        <n v="99621"/>
        <n v="44682"/>
        <n v="35163"/>
        <n v="33483"/>
        <n v="55303"/>
        <n v="63434"/>
        <n v="38830"/>
        <n v="50741"/>
        <n v="69420"/>
        <n v="80588"/>
        <n v="76238"/>
        <n v="33264"/>
        <n v="96101"/>
        <n v="72939"/>
        <n v="89333"/>
        <n v="70470"/>
        <n v="70096"/>
        <n v="66503"/>
        <n v="42096"/>
        <n v="79145"/>
        <n v="61556"/>
        <n v="87963"/>
        <n v="48325"/>
        <n v="86412"/>
        <n v="66761"/>
        <n v="88850"/>
        <n v="31293"/>
        <n v="34306"/>
        <n v="78330"/>
        <n v="47653"/>
        <n v="44627"/>
        <n v="92343"/>
        <n v="38837"/>
        <n v="73483"/>
        <n v="95032"/>
        <n v="44358"/>
        <n v="45676"/>
        <n v="52036"/>
        <n v="30357"/>
        <n v="60034"/>
        <n v="90019"/>
        <n v="71494"/>
        <n v="91953"/>
        <n v="30402"/>
        <n v="62994"/>
        <n v="48289"/>
        <n v="34402"/>
        <n v="38678"/>
        <n v="45758"/>
        <n v="62476"/>
        <n v="39280"/>
        <n v="60335"/>
        <n v="84968"/>
        <n v="84750"/>
        <n v="73348"/>
        <n v="66882"/>
        <n v="86775"/>
        <n v="91620"/>
        <n v="94148"/>
        <n v="35627"/>
        <n v="57141"/>
        <n v="65270"/>
        <n v="67335"/>
        <n v="98475"/>
      </sharedItems>
    </cacheField>
    <cacheField name="Date of Joining" numFmtId="0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  <cacheField name="Left" numFmtId="0">
      <sharedItems/>
    </cacheField>
    <cacheField name="Mid" numFmtId="0">
      <sharedItems/>
    </cacheField>
    <cacheField name="Right" numFmtId="0">
      <sharedItems/>
    </cacheField>
    <cacheField name="Upper" numFmtId="0">
      <sharedItems/>
    </cacheField>
    <cacheField name="Lower" numFmtId="0">
      <sharedItems/>
    </cacheField>
    <cacheField name="Prop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EMP1000"/>
    <m/>
    <x v="0"/>
    <x v="0"/>
    <x v="0"/>
    <m/>
    <n v="2"/>
    <s v="Unknown"/>
    <s v="invalid_email"/>
    <s v="EMP"/>
    <s v="1000"/>
    <s v="1000"/>
    <s v=""/>
    <s v=""/>
    <s v=""/>
  </r>
  <r>
    <s v="EMP1001"/>
    <s v="Eve Adams"/>
    <x v="1"/>
    <x v="1"/>
    <x v="1"/>
    <d v="2015-01-11T00:00:00"/>
    <n v="1"/>
    <s v="Other"/>
    <s v="user106@example.com"/>
    <s v="EMP"/>
    <s v="1001"/>
    <s v="1001"/>
    <s v="EVE ADAMS"/>
    <s v="eve adams"/>
    <s v="Eve Adams"/>
  </r>
  <r>
    <s v="EMP1002"/>
    <s v="Alice Brown"/>
    <x v="2"/>
    <x v="0"/>
    <x v="2"/>
    <d v="2015-01-18T00:00:00"/>
    <n v="2"/>
    <m/>
    <s v="user176@example.com"/>
    <s v="EMP"/>
    <s v="1002"/>
    <s v="1002"/>
    <s v="ALICE BROWN"/>
    <s v="alice brown"/>
    <s v="Alice Brown"/>
  </r>
  <r>
    <s v="EMP1003"/>
    <s v="John Doe"/>
    <x v="3"/>
    <x v="2"/>
    <x v="3"/>
    <d v="2015-01-25T00:00:00"/>
    <n v="1"/>
    <s v="Male"/>
    <s v="user168@example.com"/>
    <s v="EMP"/>
    <s v="1003"/>
    <s v="1003"/>
    <s v="JOHN DOE"/>
    <s v="john doe"/>
    <s v="John Doe"/>
  </r>
  <r>
    <s v="EMP1004"/>
    <s v="Jane Smith"/>
    <x v="4"/>
    <x v="2"/>
    <x v="4"/>
    <d v="2015-02-01T00:00:00"/>
    <n v="1"/>
    <s v="Male"/>
    <s v="user49@example.com"/>
    <s v="EMP"/>
    <s v="1004"/>
    <s v="1004"/>
    <s v="JANE SMITH"/>
    <s v="jane smith"/>
    <s v="Jane Smith"/>
  </r>
  <r>
    <s v="EMP1005"/>
    <s v="Alice Brown"/>
    <x v="2"/>
    <x v="3"/>
    <x v="5"/>
    <d v="2015-02-08T00:00:00"/>
    <n v="2"/>
    <s v="Female"/>
    <s v="user24@example.com"/>
    <s v="EMP"/>
    <s v="1005"/>
    <s v="1005"/>
    <s v="ALICE BROWN"/>
    <s v="alice brown"/>
    <s v="Alice Brown"/>
  </r>
  <r>
    <s v="EMP1006"/>
    <s v="Sam Wilson"/>
    <x v="5"/>
    <x v="2"/>
    <x v="6"/>
    <d v="2015-02-15T00:00:00"/>
    <m/>
    <s v="Male"/>
    <s v="user168@example.com"/>
    <s v="EMP"/>
    <s v="1006"/>
    <s v="1006"/>
    <s v="SAM WILSON"/>
    <s v="sam wilson"/>
    <s v="Sam Wilson"/>
  </r>
  <r>
    <s v="EMP1007"/>
    <s v="Chris Lee"/>
    <x v="6"/>
    <x v="4"/>
    <x v="7"/>
    <d v="2015-02-22T00:00:00"/>
    <n v="2"/>
    <s v="Other"/>
    <s v="user26@example.com"/>
    <s v="EMP"/>
    <s v="1007"/>
    <s v="1007"/>
    <s v="CHRIS LEE"/>
    <s v="chris lee"/>
    <s v="Chris Lee"/>
  </r>
  <r>
    <s v="EMP1008"/>
    <s v="Alice Brown"/>
    <x v="2"/>
    <x v="3"/>
    <x v="8"/>
    <d v="2015-03-01T00:00:00"/>
    <m/>
    <s v="Female"/>
    <s v="user25@example.com"/>
    <s v="EMP"/>
    <s v="1008"/>
    <s v="1008"/>
    <s v="ALICE BROWN"/>
    <s v="alice brown"/>
    <s v="Alice Brown"/>
  </r>
  <r>
    <s v="EMP1009"/>
    <s v="Chris Lee"/>
    <x v="6"/>
    <x v="1"/>
    <x v="9"/>
    <d v="2015-03-08T00:00:00"/>
    <m/>
    <s v="Male"/>
    <s v="user153@example.com"/>
    <s v="EMP"/>
    <s v="1009"/>
    <s v="1009"/>
    <s v="CHRIS LEE"/>
    <s v="chris lee"/>
    <s v="Chris Lee"/>
  </r>
  <r>
    <s v="EMP1010"/>
    <s v="Sam Wilson"/>
    <x v="5"/>
    <x v="0"/>
    <x v="10"/>
    <d v="2015-03-15T00:00:00"/>
    <n v="1"/>
    <s v="Female"/>
    <s v="user18@example.com"/>
    <s v="EMP"/>
    <s v="1010"/>
    <s v="1010"/>
    <s v="SAM WILSON"/>
    <s v="sam wilson"/>
    <s v="Sam Wilson"/>
  </r>
  <r>
    <s v="EMP1011"/>
    <s v="Sam Wilson"/>
    <x v="5"/>
    <x v="3"/>
    <x v="11"/>
    <d v="2015-03-22T00:00:00"/>
    <n v="5"/>
    <s v="Male"/>
    <s v="user1@example.com"/>
    <s v="EMP"/>
    <s v="1011"/>
    <s v="1011"/>
    <s v="SAM WILSON"/>
    <s v="sam wilson"/>
    <s v="Sam Wilson"/>
  </r>
  <r>
    <s v="EMP1012"/>
    <s v="Bob Johnson"/>
    <x v="7"/>
    <x v="2"/>
    <x v="12"/>
    <d v="2015-03-29T00:00:00"/>
    <n v="5"/>
    <s v="Male"/>
    <s v="user106@example.com"/>
    <s v="EMP"/>
    <s v="1012"/>
    <s v="1012"/>
    <s v="BOB JOHNSON"/>
    <s v="bob johnson"/>
    <s v="Bob Johnson"/>
  </r>
  <r>
    <s v="EMP1013"/>
    <s v="Sam Wilson"/>
    <x v="5"/>
    <x v="5"/>
    <x v="13"/>
    <d v="2015-04-05T00:00:00"/>
    <n v="4"/>
    <m/>
    <s v="user180@example.com"/>
    <s v="EMP"/>
    <s v="1013"/>
    <s v="1013"/>
    <s v="SAM WILSON"/>
    <s v="sam wilson"/>
    <s v="Sam Wilson"/>
  </r>
  <r>
    <s v="EMP1014"/>
    <s v="Jane Smith"/>
    <x v="4"/>
    <x v="1"/>
    <x v="14"/>
    <d v="2015-04-12T00:00:00"/>
    <n v="2"/>
    <s v="Male"/>
    <s v="user184@example.com"/>
    <s v="EMP"/>
    <s v="1014"/>
    <s v="1014"/>
    <s v="JANE SMITH"/>
    <s v="jane smith"/>
    <s v="Jane Smith"/>
  </r>
  <r>
    <s v="EMP1015"/>
    <m/>
    <x v="0"/>
    <x v="3"/>
    <x v="15"/>
    <d v="2015-04-19T00:00:00"/>
    <n v="3"/>
    <s v="Other"/>
    <s v="user3@example.com"/>
    <s v="EMP"/>
    <s v="1015"/>
    <s v="1015"/>
    <s v=""/>
    <s v=""/>
    <s v=""/>
  </r>
  <r>
    <s v="EMP1016"/>
    <s v="Bob Johnson"/>
    <x v="7"/>
    <x v="5"/>
    <x v="16"/>
    <d v="2015-04-26T00:00:00"/>
    <m/>
    <m/>
    <s v="user64@example.com"/>
    <s v="EMP"/>
    <s v="1016"/>
    <s v="1016"/>
    <s v="BOB JOHNSON"/>
    <s v="bob johnson"/>
    <s v="Bob Johnson"/>
  </r>
  <r>
    <s v="EMP1017"/>
    <s v="Jane Smith"/>
    <x v="4"/>
    <x v="0"/>
    <x v="17"/>
    <d v="2015-05-03T00:00:00"/>
    <n v="1"/>
    <s v="Other"/>
    <s v="user38@example.com"/>
    <s v="EMP"/>
    <s v="1017"/>
    <s v="1017"/>
    <s v="JANE SMITH"/>
    <s v="jane smith"/>
    <s v="Jane Smith"/>
  </r>
  <r>
    <s v="EMP1018"/>
    <s v="Alice Brown"/>
    <x v="2"/>
    <x v="0"/>
    <x v="18"/>
    <d v="2015-05-10T00:00:00"/>
    <m/>
    <m/>
    <s v="user96@example.com"/>
    <s v="EMP"/>
    <s v="1018"/>
    <s v="1018"/>
    <s v="ALICE BROWN"/>
    <s v="alice brown"/>
    <s v="Alice Brown"/>
  </r>
  <r>
    <s v="EMP1019"/>
    <s v="Eve Adams"/>
    <x v="1"/>
    <x v="5"/>
    <x v="19"/>
    <d v="2015-05-17T00:00:00"/>
    <n v="5"/>
    <s v="Female"/>
    <s v="user151@example.com"/>
    <s v="EMP"/>
    <s v="1019"/>
    <s v="1019"/>
    <s v="EVE ADAMS"/>
    <s v="eve adams"/>
    <s v="Eve Adams"/>
  </r>
  <r>
    <s v="EMP1020"/>
    <s v="Jane Smith"/>
    <x v="4"/>
    <x v="1"/>
    <x v="0"/>
    <d v="2015-05-24T00:00:00"/>
    <n v="2"/>
    <s v="Other"/>
    <s v="user200@example.com"/>
    <s v="EMP"/>
    <s v="1020"/>
    <s v="1020"/>
    <s v="JANE SMITH"/>
    <s v="jane smith"/>
    <s v="Jane Smith"/>
  </r>
  <r>
    <s v="EMP1021"/>
    <s v="Jane Smith"/>
    <x v="4"/>
    <x v="1"/>
    <x v="20"/>
    <d v="2015-05-31T00:00:00"/>
    <n v="4"/>
    <m/>
    <s v="user77@example.com"/>
    <s v="EMP"/>
    <s v="1021"/>
    <s v="1021"/>
    <s v="JANE SMITH"/>
    <s v="jane smith"/>
    <s v="Jane Smith"/>
  </r>
  <r>
    <s v="EMP1022"/>
    <s v="Eve Adams"/>
    <x v="1"/>
    <x v="0"/>
    <x v="21"/>
    <d v="2015-06-07T00:00:00"/>
    <n v="5"/>
    <m/>
    <s v="user128@example.com"/>
    <s v="EMP"/>
    <s v="1022"/>
    <s v="1022"/>
    <s v="EVE ADAMS"/>
    <s v="eve adams"/>
    <s v="Eve Adams"/>
  </r>
  <r>
    <s v="EMP1023"/>
    <s v="Alice Brown"/>
    <x v="2"/>
    <x v="4"/>
    <x v="22"/>
    <d v="2015-06-14T00:00:00"/>
    <n v="3"/>
    <s v="Male"/>
    <s v="user149@example.com"/>
    <s v="EMP"/>
    <s v="1023"/>
    <s v="1023"/>
    <s v="ALICE BROWN"/>
    <s v="alice brown"/>
    <s v="Alice Brown"/>
  </r>
  <r>
    <s v="EMP1024"/>
    <s v="Sam Wilson"/>
    <x v="5"/>
    <x v="0"/>
    <x v="23"/>
    <d v="2015-06-21T00:00:00"/>
    <n v="1"/>
    <s v="Other"/>
    <s v="user122@example.com"/>
    <s v="EMP"/>
    <s v="1024"/>
    <s v="1024"/>
    <s v="SAM WILSON"/>
    <s v="sam wilson"/>
    <s v="Sam Wilson"/>
  </r>
  <r>
    <s v="EMP1025"/>
    <s v="Chris Lee"/>
    <x v="6"/>
    <x v="5"/>
    <x v="24"/>
    <d v="2015-06-28T00:00:00"/>
    <n v="3"/>
    <m/>
    <s v="user41@example.com"/>
    <s v="EMP"/>
    <s v="1025"/>
    <s v="1025"/>
    <s v="CHRIS LEE"/>
    <s v="chris lee"/>
    <s v="Chris Lee"/>
  </r>
  <r>
    <s v="EMP1026"/>
    <s v="Eve Adams"/>
    <x v="1"/>
    <x v="2"/>
    <x v="25"/>
    <d v="2015-07-05T00:00:00"/>
    <n v="2"/>
    <s v="Female"/>
    <s v="user68@example.com"/>
    <s v="EMP"/>
    <s v="1026"/>
    <s v="1026"/>
    <s v="EVE ADAMS"/>
    <s v="eve adams"/>
    <s v="Eve Adams"/>
  </r>
  <r>
    <s v="EMP1027"/>
    <s v="Alice Brown"/>
    <x v="2"/>
    <x v="3"/>
    <x v="26"/>
    <d v="2015-07-12T00:00:00"/>
    <n v="3"/>
    <s v="Other"/>
    <s v="user103@example.com"/>
    <s v="EMP"/>
    <s v="1027"/>
    <s v="1027"/>
    <s v="ALICE BROWN"/>
    <s v="alice brown"/>
    <s v="Alice Brown"/>
  </r>
  <r>
    <s v="EMP1028"/>
    <s v="John Doe"/>
    <x v="3"/>
    <x v="1"/>
    <x v="27"/>
    <d v="2015-07-19T00:00:00"/>
    <n v="2"/>
    <s v="Female"/>
    <s v="user135@example.com"/>
    <s v="EMP"/>
    <s v="1028"/>
    <s v="1028"/>
    <s v="JOHN DOE"/>
    <s v="john doe"/>
    <s v="John Doe"/>
  </r>
  <r>
    <s v="EMP1029"/>
    <s v="Bob Johnson"/>
    <x v="7"/>
    <x v="4"/>
    <x v="28"/>
    <d v="2015-07-26T00:00:00"/>
    <n v="5"/>
    <m/>
    <s v="user83@example.com"/>
    <s v="EMP"/>
    <s v="1029"/>
    <s v="1029"/>
    <s v="BOB JOHNSON"/>
    <s v="bob johnson"/>
    <s v="Bob Johnson"/>
  </r>
  <r>
    <s v="EMP1030"/>
    <m/>
    <x v="0"/>
    <x v="4"/>
    <x v="29"/>
    <m/>
    <n v="1"/>
    <s v="Unknown"/>
    <s v="user109@example.com"/>
    <s v="EMP"/>
    <s v="1030"/>
    <s v="1030"/>
    <s v=""/>
    <s v=""/>
    <s v=""/>
  </r>
  <r>
    <s v="EMP1031"/>
    <s v="Eve Adams"/>
    <x v="1"/>
    <x v="1"/>
    <x v="30"/>
    <d v="2015-08-09T00:00:00"/>
    <n v="3"/>
    <s v="Male"/>
    <s v="user143@example.com"/>
    <s v="EMP"/>
    <s v="1031"/>
    <s v="1031"/>
    <s v="EVE ADAMS"/>
    <s v="eve adams"/>
    <s v="Eve Adams"/>
  </r>
  <r>
    <s v="EMP1032"/>
    <s v="Sam Wilson"/>
    <x v="5"/>
    <x v="1"/>
    <x v="31"/>
    <d v="2015-08-16T00:00:00"/>
    <n v="3"/>
    <s v="Other"/>
    <s v="user190@example.com"/>
    <s v="EMP"/>
    <s v="1032"/>
    <s v="1032"/>
    <s v="SAM WILSON"/>
    <s v="sam wilson"/>
    <s v="Sam Wilson"/>
  </r>
  <r>
    <s v="EMP1033"/>
    <s v="Chris Lee"/>
    <x v="6"/>
    <x v="5"/>
    <x v="32"/>
    <d v="2015-08-23T00:00:00"/>
    <m/>
    <s v="Male"/>
    <s v="user136@example.com"/>
    <s v="EMP"/>
    <s v="1033"/>
    <s v="1033"/>
    <s v="CHRIS LEE"/>
    <s v="chris lee"/>
    <s v="Chris Lee"/>
  </r>
  <r>
    <s v="EMP1034"/>
    <s v="John Doe"/>
    <x v="3"/>
    <x v="2"/>
    <x v="33"/>
    <d v="2015-08-30T00:00:00"/>
    <n v="3"/>
    <m/>
    <s v="user198@example.com"/>
    <s v="EMP"/>
    <s v="1034"/>
    <s v="1034"/>
    <s v="JOHN DOE"/>
    <s v="john doe"/>
    <s v="John Doe"/>
  </r>
  <r>
    <s v="EMP1035"/>
    <s v="Alice Brown"/>
    <x v="2"/>
    <x v="5"/>
    <x v="34"/>
    <d v="2015-09-06T00:00:00"/>
    <n v="4"/>
    <s v="Male"/>
    <s v="invalid_email"/>
    <s v="EMP"/>
    <s v="1035"/>
    <s v="1035"/>
    <s v="ALICE BROWN"/>
    <s v="alice brown"/>
    <s v="Alice Brown"/>
  </r>
  <r>
    <s v="EMP1036"/>
    <s v="Alice Brown"/>
    <x v="2"/>
    <x v="3"/>
    <x v="35"/>
    <d v="2015-09-13T00:00:00"/>
    <m/>
    <s v="Female"/>
    <s v="user31@example.com"/>
    <s v="EMP"/>
    <s v="1036"/>
    <s v="1036"/>
    <s v="ALICE BROWN"/>
    <s v="alice brown"/>
    <s v="Alice Brown"/>
  </r>
  <r>
    <s v="EMP1037"/>
    <s v="Alice Brown"/>
    <x v="2"/>
    <x v="1"/>
    <x v="36"/>
    <d v="2015-09-20T00:00:00"/>
    <m/>
    <s v="Other"/>
    <s v="user98@example.com"/>
    <s v="EMP"/>
    <s v="1037"/>
    <s v="1037"/>
    <s v="ALICE BROWN"/>
    <s v="alice brown"/>
    <s v="Alice Brown"/>
  </r>
  <r>
    <s v="EMP1038"/>
    <s v="John Doe"/>
    <x v="3"/>
    <x v="4"/>
    <x v="37"/>
    <d v="2015-09-27T00:00:00"/>
    <n v="5"/>
    <m/>
    <s v="user154@example.com"/>
    <s v="EMP"/>
    <s v="1038"/>
    <s v="1038"/>
    <s v="JOHN DOE"/>
    <s v="john doe"/>
    <s v="John Doe"/>
  </r>
  <r>
    <s v="EMP1039"/>
    <s v="Chris Lee"/>
    <x v="6"/>
    <x v="1"/>
    <x v="38"/>
    <d v="2015-10-04T00:00:00"/>
    <n v="3"/>
    <m/>
    <s v="user42@example.com"/>
    <s v="EMP"/>
    <s v="1039"/>
    <s v="1039"/>
    <s v="CHRIS LEE"/>
    <s v="chris lee"/>
    <s v="Chris Lee"/>
  </r>
  <r>
    <s v="EMP1040"/>
    <s v="Bob Johnson"/>
    <x v="7"/>
    <x v="0"/>
    <x v="0"/>
    <m/>
    <n v="4"/>
    <s v="Female"/>
    <s v="user89@example.com"/>
    <s v="EMP"/>
    <s v="1040"/>
    <s v="1040"/>
    <s v="BOB JOHNSON"/>
    <s v="bob johnson"/>
    <s v="Bob Johnson"/>
  </r>
  <r>
    <s v="EMP1041"/>
    <s v="Alice Brown"/>
    <x v="2"/>
    <x v="3"/>
    <x v="39"/>
    <d v="2015-10-18T00:00:00"/>
    <m/>
    <m/>
    <s v="user47@example.com"/>
    <s v="EMP"/>
    <s v="1041"/>
    <s v="1041"/>
    <s v="ALICE BROWN"/>
    <s v="alice brown"/>
    <s v="Alice Brown"/>
  </r>
  <r>
    <s v="EMP1042"/>
    <s v="Bob Johnson"/>
    <x v="7"/>
    <x v="5"/>
    <x v="40"/>
    <d v="2015-10-25T00:00:00"/>
    <n v="1"/>
    <s v="Female"/>
    <s v="user175@example.com"/>
    <s v="EMP"/>
    <s v="1042"/>
    <s v="1042"/>
    <s v="BOB JOHNSON"/>
    <s v="bob johnson"/>
    <s v="Bob Johnson"/>
  </r>
  <r>
    <s v="EMP1043"/>
    <s v="Alice Brown"/>
    <x v="2"/>
    <x v="4"/>
    <x v="41"/>
    <d v="2015-11-01T00:00:00"/>
    <m/>
    <s v="Female"/>
    <s v="user57@example.com"/>
    <s v="EMP"/>
    <s v="1043"/>
    <s v="1043"/>
    <s v="ALICE BROWN"/>
    <s v="alice brown"/>
    <s v="Alice Brown"/>
  </r>
  <r>
    <s v="EMP1044"/>
    <s v="Chris Lee"/>
    <x v="6"/>
    <x v="0"/>
    <x v="42"/>
    <d v="2015-11-08T00:00:00"/>
    <n v="1"/>
    <m/>
    <s v="user20@example.com"/>
    <s v="EMP"/>
    <s v="1044"/>
    <s v="1044"/>
    <s v="CHRIS LEE"/>
    <s v="chris lee"/>
    <s v="Chris Lee"/>
  </r>
  <r>
    <s v="EMP1045"/>
    <m/>
    <x v="0"/>
    <x v="1"/>
    <x v="43"/>
    <d v="2015-11-15T00:00:00"/>
    <n v="3"/>
    <s v="Other"/>
    <s v="user106@example.com"/>
    <s v="EMP"/>
    <s v="1045"/>
    <s v="1045"/>
    <s v=""/>
    <s v=""/>
    <s v=""/>
  </r>
  <r>
    <s v="EMP1046"/>
    <s v="Chris Lee"/>
    <x v="6"/>
    <x v="3"/>
    <x v="44"/>
    <d v="2015-11-22T00:00:00"/>
    <n v="3"/>
    <s v="Other"/>
    <s v="user199@example.com"/>
    <s v="EMP"/>
    <s v="1046"/>
    <s v="1046"/>
    <s v="CHRIS LEE"/>
    <s v="chris lee"/>
    <s v="Chris Lee"/>
  </r>
  <r>
    <s v="EMP1047"/>
    <s v="Chris Lee"/>
    <x v="6"/>
    <x v="1"/>
    <x v="45"/>
    <d v="2015-11-29T00:00:00"/>
    <n v="4"/>
    <m/>
    <s v="user43@example.com"/>
    <s v="EMP"/>
    <s v="1047"/>
    <s v="1047"/>
    <s v="CHRIS LEE"/>
    <s v="chris lee"/>
    <s v="Chris Lee"/>
  </r>
  <r>
    <s v="EMP1048"/>
    <s v="John Doe"/>
    <x v="3"/>
    <x v="0"/>
    <x v="46"/>
    <d v="2015-12-06T00:00:00"/>
    <n v="2"/>
    <s v="Other"/>
    <s v="user24@example.com"/>
    <s v="EMP"/>
    <s v="1048"/>
    <s v="1048"/>
    <s v="JOHN DOE"/>
    <s v="john doe"/>
    <s v="John Doe"/>
  </r>
  <r>
    <s v="EMP1049"/>
    <s v="Eve Adams"/>
    <x v="1"/>
    <x v="1"/>
    <x v="47"/>
    <d v="2015-12-13T00:00:00"/>
    <n v="5"/>
    <s v="Female"/>
    <s v="user89@example.com"/>
    <s v="EMP"/>
    <s v="1049"/>
    <s v="1049"/>
    <s v="EVE ADAMS"/>
    <s v="eve adams"/>
    <s v="Eve Adams"/>
  </r>
  <r>
    <s v="EMP1050"/>
    <s v="Chris Lee"/>
    <x v="6"/>
    <x v="5"/>
    <x v="48"/>
    <m/>
    <n v="2"/>
    <s v="Female"/>
    <s v="user95@example.com"/>
    <s v="EMP"/>
    <s v="1050"/>
    <s v="1050"/>
    <s v="CHRIS LEE"/>
    <s v="chris lee"/>
    <s v="Chris Lee"/>
  </r>
  <r>
    <s v="EMP1051"/>
    <s v="Sam Wilson"/>
    <x v="5"/>
    <x v="2"/>
    <x v="49"/>
    <d v="2015-12-27T00:00:00"/>
    <n v="5"/>
    <m/>
    <s v="user59@example.com"/>
    <s v="EMP"/>
    <s v="1051"/>
    <s v="1051"/>
    <s v="SAM WILSON"/>
    <s v="sam wilson"/>
    <s v="Sam Wilson"/>
  </r>
  <r>
    <s v="EMP1052"/>
    <s v="Eve Adams"/>
    <x v="1"/>
    <x v="4"/>
    <x v="50"/>
    <d v="2016-01-03T00:00:00"/>
    <n v="1"/>
    <m/>
    <s v="user152@example.com"/>
    <s v="EMP"/>
    <s v="1052"/>
    <s v="1052"/>
    <s v="EVE ADAMS"/>
    <s v="eve adams"/>
    <s v="Eve Adams"/>
  </r>
  <r>
    <s v="EMP1053"/>
    <s v="Eve Adams"/>
    <x v="1"/>
    <x v="0"/>
    <x v="51"/>
    <d v="2016-01-10T00:00:00"/>
    <n v="3"/>
    <s v="Female"/>
    <s v="user200@example.com"/>
    <s v="EMP"/>
    <s v="1053"/>
    <s v="1053"/>
    <s v="EVE ADAMS"/>
    <s v="eve adams"/>
    <s v="Eve Adams"/>
  </r>
  <r>
    <s v="EMP1054"/>
    <s v="Bob Johnson"/>
    <x v="7"/>
    <x v="4"/>
    <x v="52"/>
    <d v="2016-01-17T00:00:00"/>
    <n v="5"/>
    <s v="Other"/>
    <s v="user92@example.com"/>
    <s v="EMP"/>
    <s v="1054"/>
    <s v="1054"/>
    <s v="BOB JOHNSON"/>
    <s v="bob johnson"/>
    <s v="Bob Johnson"/>
  </r>
  <r>
    <s v="EMP1055"/>
    <s v="Chris Lee"/>
    <x v="6"/>
    <x v="5"/>
    <x v="53"/>
    <d v="2016-01-24T00:00:00"/>
    <n v="5"/>
    <s v="Female"/>
    <s v="user50@example.com"/>
    <s v="EMP"/>
    <s v="1055"/>
    <s v="1055"/>
    <s v="CHRIS LEE"/>
    <s v="chris lee"/>
    <s v="Chris Lee"/>
  </r>
  <r>
    <s v="EMP1056"/>
    <s v="John Doe"/>
    <x v="3"/>
    <x v="2"/>
    <x v="54"/>
    <d v="2016-01-31T00:00:00"/>
    <n v="1"/>
    <s v="Male"/>
    <s v="user63@example.com"/>
    <s v="EMP"/>
    <s v="1056"/>
    <s v="1056"/>
    <s v="JOHN DOE"/>
    <s v="john doe"/>
    <s v="John Doe"/>
  </r>
  <r>
    <s v="EMP1057"/>
    <s v="Eve Adams"/>
    <x v="1"/>
    <x v="5"/>
    <x v="55"/>
    <d v="2016-02-07T00:00:00"/>
    <n v="3"/>
    <m/>
    <s v="user103@example.com"/>
    <s v="EMP"/>
    <s v="1057"/>
    <s v="1057"/>
    <s v="EVE ADAMS"/>
    <s v="eve adams"/>
    <s v="Eve Adams"/>
  </r>
  <r>
    <s v="EMP1058"/>
    <s v="Sam Wilson"/>
    <x v="5"/>
    <x v="4"/>
    <x v="56"/>
    <d v="2016-02-14T00:00:00"/>
    <n v="5"/>
    <s v="Male"/>
    <s v="user150@example.com"/>
    <s v="EMP"/>
    <s v="1058"/>
    <s v="1058"/>
    <s v="SAM WILSON"/>
    <s v="sam wilson"/>
    <s v="Sam Wilson"/>
  </r>
  <r>
    <s v="EMP1059"/>
    <s v="Sam Wilson"/>
    <x v="5"/>
    <x v="0"/>
    <x v="57"/>
    <d v="2016-02-21T00:00:00"/>
    <n v="1"/>
    <m/>
    <s v="user20@example.com"/>
    <s v="EMP"/>
    <s v="1059"/>
    <s v="1059"/>
    <s v="SAM WILSON"/>
    <s v="sam wilson"/>
    <s v="Sam Wilson"/>
  </r>
  <r>
    <s v="EMP1060"/>
    <m/>
    <x v="0"/>
    <x v="4"/>
    <x v="0"/>
    <m/>
    <n v="5"/>
    <s v="Unknown"/>
    <s v="user112@example.com"/>
    <s v="EMP"/>
    <s v="1060"/>
    <s v="1060"/>
    <s v=""/>
    <s v=""/>
    <s v=""/>
  </r>
  <r>
    <s v="EMP1061"/>
    <s v="Eve Adams"/>
    <x v="1"/>
    <x v="5"/>
    <x v="58"/>
    <d v="2016-03-06T00:00:00"/>
    <n v="2"/>
    <m/>
    <s v="user31@example.com"/>
    <s v="EMP"/>
    <s v="1061"/>
    <s v="1061"/>
    <s v="EVE ADAMS"/>
    <s v="eve adams"/>
    <s v="Eve Adams"/>
  </r>
  <r>
    <s v="EMP1062"/>
    <s v="Chris Lee"/>
    <x v="6"/>
    <x v="3"/>
    <x v="59"/>
    <d v="2016-03-13T00:00:00"/>
    <n v="5"/>
    <s v="Female"/>
    <s v="user71@example.com"/>
    <s v="EMP"/>
    <s v="1062"/>
    <s v="1062"/>
    <s v="CHRIS LEE"/>
    <s v="chris lee"/>
    <s v="Chris Lee"/>
  </r>
  <r>
    <s v="EMP1063"/>
    <s v="Eve Adams"/>
    <x v="1"/>
    <x v="1"/>
    <x v="60"/>
    <d v="2016-03-20T00:00:00"/>
    <n v="2"/>
    <s v="Other"/>
    <s v="user97@example.com"/>
    <s v="EMP"/>
    <s v="1063"/>
    <s v="1063"/>
    <s v="EVE ADAMS"/>
    <s v="eve adams"/>
    <s v="Eve Adams"/>
  </r>
  <r>
    <s v="EMP1064"/>
    <s v="John Doe"/>
    <x v="3"/>
    <x v="3"/>
    <x v="61"/>
    <d v="2016-03-27T00:00:00"/>
    <n v="1"/>
    <s v="Male"/>
    <s v="user141@example.com"/>
    <s v="EMP"/>
    <s v="1064"/>
    <s v="1064"/>
    <s v="JOHN DOE"/>
    <s v="john doe"/>
    <s v="John Doe"/>
  </r>
  <r>
    <s v="EMP1065"/>
    <s v="Sam Wilson"/>
    <x v="5"/>
    <x v="0"/>
    <x v="62"/>
    <d v="2016-04-03T00:00:00"/>
    <n v="4"/>
    <s v="Male"/>
    <s v="user125@example.com"/>
    <s v="EMP"/>
    <s v="1065"/>
    <s v="1065"/>
    <s v="SAM WILSON"/>
    <s v="sam wilson"/>
    <s v="Sam Wilson"/>
  </r>
  <r>
    <s v="EMP1066"/>
    <s v="Sam Wilson"/>
    <x v="5"/>
    <x v="5"/>
    <x v="63"/>
    <d v="2016-04-10T00:00:00"/>
    <n v="3"/>
    <s v="Other"/>
    <s v="user90@example.com"/>
    <s v="EMP"/>
    <s v="1066"/>
    <s v="1066"/>
    <s v="SAM WILSON"/>
    <s v="sam wilson"/>
    <s v="Sam Wilson"/>
  </r>
  <r>
    <s v="EMP1067"/>
    <s v="Alice Brown"/>
    <x v="2"/>
    <x v="2"/>
    <x v="64"/>
    <d v="2016-04-17T00:00:00"/>
    <n v="3"/>
    <s v="Female"/>
    <s v="user192@example.com"/>
    <s v="EMP"/>
    <s v="1067"/>
    <s v="1067"/>
    <s v="ALICE BROWN"/>
    <s v="alice brown"/>
    <s v="Alice Brown"/>
  </r>
  <r>
    <s v="EMP1068"/>
    <s v="Sam Wilson"/>
    <x v="5"/>
    <x v="0"/>
    <x v="65"/>
    <d v="2016-04-24T00:00:00"/>
    <n v="2"/>
    <m/>
    <s v="user77@example.com"/>
    <s v="EMP"/>
    <s v="1068"/>
    <s v="1068"/>
    <s v="SAM WILSON"/>
    <s v="sam wilson"/>
    <s v="Sam Wilson"/>
  </r>
  <r>
    <s v="EMP1069"/>
    <s v="Bob Johnson"/>
    <x v="7"/>
    <x v="0"/>
    <x v="66"/>
    <d v="2016-05-01T00:00:00"/>
    <n v="1"/>
    <m/>
    <s v="user65@example.com"/>
    <s v="EMP"/>
    <s v="1069"/>
    <s v="1069"/>
    <s v="BOB JOHNSON"/>
    <s v="bob johnson"/>
    <s v="Bob Johnson"/>
  </r>
  <r>
    <s v="EMP1070"/>
    <s v="Eve Adams"/>
    <x v="1"/>
    <x v="2"/>
    <x v="67"/>
    <d v="2016-05-08T00:00:00"/>
    <n v="5"/>
    <s v="Female"/>
    <s v="invalid_email"/>
    <s v="EMP"/>
    <s v="1070"/>
    <s v="1070"/>
    <s v="EVE ADAMS"/>
    <s v="eve adams"/>
    <s v="Eve Adams"/>
  </r>
  <r>
    <s v="EMP1071"/>
    <s v="Eve Adams"/>
    <x v="1"/>
    <x v="4"/>
    <x v="68"/>
    <d v="2016-05-15T00:00:00"/>
    <n v="3"/>
    <m/>
    <s v="user142@example.com"/>
    <s v="EMP"/>
    <s v="1071"/>
    <s v="1071"/>
    <s v="EVE ADAMS"/>
    <s v="eve adams"/>
    <s v="Eve Adams"/>
  </r>
  <r>
    <s v="EMP1072"/>
    <s v="Bob Johnson"/>
    <x v="7"/>
    <x v="4"/>
    <x v="69"/>
    <d v="2016-05-22T00:00:00"/>
    <m/>
    <s v="Other"/>
    <s v="user153@example.com"/>
    <s v="EMP"/>
    <s v="1072"/>
    <s v="1072"/>
    <s v="BOB JOHNSON"/>
    <s v="bob johnson"/>
    <s v="Bob Johnson"/>
  </r>
  <r>
    <s v="EMP1073"/>
    <s v="John Doe"/>
    <x v="3"/>
    <x v="2"/>
    <x v="70"/>
    <d v="2016-05-29T00:00:00"/>
    <n v="4"/>
    <s v="Female"/>
    <s v="user71@example.com"/>
    <s v="EMP"/>
    <s v="1073"/>
    <s v="1073"/>
    <s v="JOHN DOE"/>
    <s v="john doe"/>
    <s v="John Doe"/>
  </r>
  <r>
    <s v="EMP1074"/>
    <s v="Sam Wilson"/>
    <x v="5"/>
    <x v="5"/>
    <x v="71"/>
    <d v="2016-06-05T00:00:00"/>
    <m/>
    <m/>
    <s v="user143@example.com"/>
    <s v="EMP"/>
    <s v="1074"/>
    <s v="1074"/>
    <s v="SAM WILSON"/>
    <s v="sam wilson"/>
    <s v="Sam Wilson"/>
  </r>
  <r>
    <s v="EMP1075"/>
    <m/>
    <x v="0"/>
    <x v="2"/>
    <x v="72"/>
    <d v="2016-06-12T00:00:00"/>
    <n v="1"/>
    <s v="Other"/>
    <s v="user17@example.com"/>
    <s v="EMP"/>
    <s v="1075"/>
    <s v="1075"/>
    <s v=""/>
    <s v=""/>
    <s v=""/>
  </r>
  <r>
    <s v="EMP1076"/>
    <s v="Eve Adams"/>
    <x v="1"/>
    <x v="3"/>
    <x v="73"/>
    <d v="2016-06-19T00:00:00"/>
    <n v="1"/>
    <s v="Male"/>
    <s v="user20@example.com"/>
    <s v="EMP"/>
    <s v="1076"/>
    <s v="1076"/>
    <s v="EVE ADAMS"/>
    <s v="eve adams"/>
    <s v="Eve Adams"/>
  </r>
  <r>
    <s v="EMP1077"/>
    <s v="Jane Smith"/>
    <x v="4"/>
    <x v="5"/>
    <x v="74"/>
    <d v="2016-06-26T00:00:00"/>
    <n v="1"/>
    <s v="Female"/>
    <s v="user22@example.com"/>
    <s v="EMP"/>
    <s v="1077"/>
    <s v="1077"/>
    <s v="JANE SMITH"/>
    <s v="jane smith"/>
    <s v="Jane Smith"/>
  </r>
  <r>
    <s v="EMP1078"/>
    <s v="Sam Wilson"/>
    <x v="5"/>
    <x v="5"/>
    <x v="75"/>
    <d v="2016-07-03T00:00:00"/>
    <n v="2"/>
    <m/>
    <s v="user46@example.com"/>
    <s v="EMP"/>
    <s v="1078"/>
    <s v="1078"/>
    <s v="SAM WILSON"/>
    <s v="sam wilson"/>
    <s v="Sam Wilson"/>
  </r>
  <r>
    <s v="EMP1079"/>
    <s v="Chris Lee"/>
    <x v="6"/>
    <x v="2"/>
    <x v="76"/>
    <d v="2016-07-10T00:00:00"/>
    <n v="2"/>
    <s v="Other"/>
    <s v="user55@example.com"/>
    <s v="EMP"/>
    <s v="1079"/>
    <s v="1079"/>
    <s v="CHRIS LEE"/>
    <s v="chris lee"/>
    <s v="Chris Lee"/>
  </r>
  <r>
    <s v="EMP1080"/>
    <s v="Eve Adams"/>
    <x v="1"/>
    <x v="4"/>
    <x v="0"/>
    <m/>
    <m/>
    <m/>
    <s v="user135@example.com"/>
    <s v="EMP"/>
    <s v="1080"/>
    <s v="1080"/>
    <s v="EVE ADAMS"/>
    <s v="eve adams"/>
    <s v="Eve Adams"/>
  </r>
  <r>
    <s v="EMP1081"/>
    <s v="Jane Smith"/>
    <x v="4"/>
    <x v="2"/>
    <x v="77"/>
    <d v="2016-07-24T00:00:00"/>
    <n v="3"/>
    <s v="Female"/>
    <s v="user156@example.com"/>
    <s v="EMP"/>
    <s v="1081"/>
    <s v="1081"/>
    <s v="JANE SMITH"/>
    <s v="jane smith"/>
    <s v="Jane Smith"/>
  </r>
  <r>
    <s v="EMP1082"/>
    <s v="Eve Adams"/>
    <x v="1"/>
    <x v="3"/>
    <x v="78"/>
    <d v="2016-07-31T00:00:00"/>
    <n v="1"/>
    <m/>
    <s v="user104@example.com"/>
    <s v="EMP"/>
    <s v="1082"/>
    <s v="1082"/>
    <s v="EVE ADAMS"/>
    <s v="eve adams"/>
    <s v="Eve Adams"/>
  </r>
  <r>
    <s v="EMP1083"/>
    <s v="Sam Wilson"/>
    <x v="5"/>
    <x v="2"/>
    <x v="79"/>
    <d v="2016-08-07T00:00:00"/>
    <m/>
    <s v="Other"/>
    <s v="user145@example.com"/>
    <s v="EMP"/>
    <s v="1083"/>
    <s v="1083"/>
    <s v="SAM WILSON"/>
    <s v="sam wilson"/>
    <s v="Sam Wilson"/>
  </r>
  <r>
    <s v="EMP1084"/>
    <s v="John Doe"/>
    <x v="3"/>
    <x v="4"/>
    <x v="80"/>
    <d v="2016-08-14T00:00:00"/>
    <n v="4"/>
    <s v="Female"/>
    <s v="user47@example.com"/>
    <s v="EMP"/>
    <s v="1084"/>
    <s v="1084"/>
    <s v="JOHN DOE"/>
    <s v="john doe"/>
    <s v="John Doe"/>
  </r>
  <r>
    <s v="EMP1085"/>
    <s v="Chris Lee"/>
    <x v="6"/>
    <x v="0"/>
    <x v="81"/>
    <d v="2016-08-21T00:00:00"/>
    <n v="5"/>
    <s v="Other"/>
    <s v="user197@example.com"/>
    <s v="EMP"/>
    <s v="1085"/>
    <s v="1085"/>
    <s v="CHRIS LEE"/>
    <s v="chris lee"/>
    <s v="Chris Lee"/>
  </r>
  <r>
    <s v="EMP1086"/>
    <s v="Chris Lee"/>
    <x v="6"/>
    <x v="3"/>
    <x v="82"/>
    <d v="2016-08-28T00:00:00"/>
    <n v="4"/>
    <s v="Male"/>
    <s v="user177@example.com"/>
    <s v="EMP"/>
    <s v="1086"/>
    <s v="1086"/>
    <s v="CHRIS LEE"/>
    <s v="chris lee"/>
    <s v="Chris Lee"/>
  </r>
  <r>
    <s v="EMP1087"/>
    <s v="Sam Wilson"/>
    <x v="5"/>
    <x v="1"/>
    <x v="83"/>
    <d v="2016-09-04T00:00:00"/>
    <n v="4"/>
    <s v="Male"/>
    <s v="user149@example.com"/>
    <s v="EMP"/>
    <s v="1087"/>
    <s v="1087"/>
    <s v="SAM WILSON"/>
    <s v="sam wilson"/>
    <s v="Sam Wilson"/>
  </r>
  <r>
    <s v="EMP1088"/>
    <s v="Chris Lee"/>
    <x v="6"/>
    <x v="3"/>
    <x v="84"/>
    <d v="2016-09-11T00:00:00"/>
    <n v="3"/>
    <m/>
    <s v="user48@example.com"/>
    <s v="EMP"/>
    <s v="1088"/>
    <s v="1088"/>
    <s v="CHRIS LEE"/>
    <s v="chris lee"/>
    <s v="Chris Lee"/>
  </r>
  <r>
    <s v="EMP1089"/>
    <s v="Jane Smith"/>
    <x v="4"/>
    <x v="5"/>
    <x v="85"/>
    <d v="2016-09-18T00:00:00"/>
    <n v="3"/>
    <s v="Other"/>
    <s v="user149@example.com"/>
    <s v="EMP"/>
    <s v="1089"/>
    <s v="1089"/>
    <s v="JANE SMITH"/>
    <s v="jane smith"/>
    <s v="Jane Smith"/>
  </r>
  <r>
    <s v="EMP1090"/>
    <m/>
    <x v="0"/>
    <x v="4"/>
    <x v="86"/>
    <d v="2016-09-25T00:00:00"/>
    <n v="3"/>
    <s v="Unknown"/>
    <s v="user65@example.com"/>
    <s v="EMP"/>
    <s v="1090"/>
    <s v="1090"/>
    <s v=""/>
    <s v=""/>
    <s v=""/>
  </r>
  <r>
    <s v="EMP1091"/>
    <s v="Alice Brown"/>
    <x v="2"/>
    <x v="1"/>
    <x v="87"/>
    <d v="2016-10-02T00:00:00"/>
    <n v="1"/>
    <s v="Male"/>
    <s v="user43@example.com"/>
    <s v="EMP"/>
    <s v="1091"/>
    <s v="1091"/>
    <s v="ALICE BROWN"/>
    <s v="alice brown"/>
    <s v="Alice Brown"/>
  </r>
  <r>
    <s v="EMP1092"/>
    <s v="Jane Smith"/>
    <x v="4"/>
    <x v="3"/>
    <x v="88"/>
    <d v="2016-10-09T00:00:00"/>
    <n v="5"/>
    <s v="Male"/>
    <s v="user98@example.com"/>
    <s v="EMP"/>
    <s v="1092"/>
    <s v="1092"/>
    <s v="JANE SMITH"/>
    <s v="jane smith"/>
    <s v="Jane Smith"/>
  </r>
  <r>
    <s v="EMP1093"/>
    <s v="Alice Brown"/>
    <x v="2"/>
    <x v="5"/>
    <x v="89"/>
    <d v="2016-10-16T00:00:00"/>
    <n v="4"/>
    <s v="Male"/>
    <s v="user102@example.com"/>
    <s v="EMP"/>
    <s v="1093"/>
    <s v="1093"/>
    <s v="ALICE BROWN"/>
    <s v="alice brown"/>
    <s v="Alice Brown"/>
  </r>
  <r>
    <s v="EMP1094"/>
    <s v="Bob Johnson"/>
    <x v="7"/>
    <x v="3"/>
    <x v="90"/>
    <d v="2016-10-23T00:00:00"/>
    <m/>
    <s v="Female"/>
    <s v="user148@example.com"/>
    <s v="EMP"/>
    <s v="1094"/>
    <s v="1094"/>
    <s v="BOB JOHNSON"/>
    <s v="bob johnson"/>
    <s v="Bob Johnson"/>
  </r>
  <r>
    <s v="EMP1095"/>
    <s v="Alice Brown"/>
    <x v="2"/>
    <x v="0"/>
    <x v="91"/>
    <d v="2016-10-30T00:00:00"/>
    <m/>
    <s v="Other"/>
    <s v="user155@example.com"/>
    <s v="EMP"/>
    <s v="1095"/>
    <s v="1095"/>
    <s v="ALICE BROWN"/>
    <s v="alice brown"/>
    <s v="Alice Brown"/>
  </r>
  <r>
    <s v="EMP1096"/>
    <s v="Jane Smith"/>
    <x v="4"/>
    <x v="0"/>
    <x v="92"/>
    <d v="2016-11-06T00:00:00"/>
    <n v="3"/>
    <m/>
    <s v="user191@example.com"/>
    <s v="EMP"/>
    <s v="1096"/>
    <s v="1096"/>
    <s v="JANE SMITH"/>
    <s v="jane smith"/>
    <s v="Jane Smith"/>
  </r>
  <r>
    <s v="EMP1097"/>
    <s v="Sam Wilson"/>
    <x v="5"/>
    <x v="1"/>
    <x v="93"/>
    <d v="2016-11-13T00:00:00"/>
    <n v="1"/>
    <s v="Male"/>
    <s v="user113@example.com"/>
    <s v="EMP"/>
    <s v="1097"/>
    <s v="1097"/>
    <s v="SAM WILSON"/>
    <s v="sam wilson"/>
    <s v="Sam Wilson"/>
  </r>
  <r>
    <s v="EMP1098"/>
    <s v="Bob Johnson"/>
    <x v="7"/>
    <x v="3"/>
    <x v="94"/>
    <d v="2016-11-20T00:00:00"/>
    <m/>
    <s v="Male"/>
    <s v="user62@example.com"/>
    <s v="EMP"/>
    <s v="1098"/>
    <s v="1098"/>
    <s v="BOB JOHNSON"/>
    <s v="bob johnson"/>
    <s v="Bob Johnson"/>
  </r>
  <r>
    <s v="EMP1099"/>
    <s v="Eve Adams"/>
    <x v="1"/>
    <x v="4"/>
    <x v="95"/>
    <d v="2016-11-27T00:00:00"/>
    <n v="4"/>
    <s v="Male"/>
    <s v="user76@example.com"/>
    <s v="EMP"/>
    <s v="1099"/>
    <s v="1099"/>
    <s v="EVE ADAMS"/>
    <s v="eve adams"/>
    <s v="Eve Adams"/>
  </r>
  <r>
    <s v="EMP1100"/>
    <s v="Bob Johnson"/>
    <x v="7"/>
    <x v="4"/>
    <x v="0"/>
    <d v="2016-12-04T00:00:00"/>
    <n v="2"/>
    <s v="Other"/>
    <s v="user40@example.com"/>
    <s v="EMP"/>
    <s v="1100"/>
    <s v="1100"/>
    <s v="BOB JOHNSON"/>
    <s v="bob johnson"/>
    <s v="Bob Johnson"/>
  </r>
  <r>
    <s v="EMP1101"/>
    <s v="Bob Johnson"/>
    <x v="7"/>
    <x v="3"/>
    <x v="96"/>
    <d v="2016-12-11T00:00:00"/>
    <m/>
    <s v="Male"/>
    <s v="user200@example.com"/>
    <s v="EMP"/>
    <s v="1101"/>
    <s v="1101"/>
    <s v="BOB JOHNSON"/>
    <s v="bob johnson"/>
    <s v="Bob Johnson"/>
  </r>
  <r>
    <s v="EMP1102"/>
    <s v="Alice Brown"/>
    <x v="2"/>
    <x v="1"/>
    <x v="97"/>
    <d v="2016-12-18T00:00:00"/>
    <m/>
    <s v="Female"/>
    <s v="user54@example.com"/>
    <s v="EMP"/>
    <s v="1102"/>
    <s v="1102"/>
    <s v="ALICE BROWN"/>
    <s v="alice brown"/>
    <s v="Alice Brown"/>
  </r>
  <r>
    <s v="EMP1103"/>
    <s v="Alice Brown"/>
    <x v="2"/>
    <x v="4"/>
    <x v="98"/>
    <d v="2016-12-25T00:00:00"/>
    <n v="5"/>
    <s v="Other"/>
    <s v="user20@example.com"/>
    <s v="EMP"/>
    <s v="1103"/>
    <s v="1103"/>
    <s v="ALICE BROWN"/>
    <s v="alice brown"/>
    <s v="Alice Brown"/>
  </r>
  <r>
    <s v="EMP1104"/>
    <s v="Jane Smith"/>
    <x v="4"/>
    <x v="5"/>
    <x v="99"/>
    <d v="2017-01-01T00:00:00"/>
    <n v="1"/>
    <m/>
    <s v="user40@example.com"/>
    <s v="EMP"/>
    <s v="1104"/>
    <s v="1104"/>
    <s v="JANE SMITH"/>
    <s v="jane smith"/>
    <s v="Jane Smith"/>
  </r>
  <r>
    <s v="EMP1105"/>
    <m/>
    <x v="0"/>
    <x v="1"/>
    <x v="100"/>
    <d v="2017-01-08T00:00:00"/>
    <n v="3"/>
    <s v="Other"/>
    <s v="invalid_email"/>
    <s v="EMP"/>
    <s v="1105"/>
    <s v="1105"/>
    <s v=""/>
    <s v=""/>
    <s v=""/>
  </r>
  <r>
    <s v="EMP1106"/>
    <s v="Eve Adams"/>
    <x v="1"/>
    <x v="3"/>
    <x v="101"/>
    <d v="2017-01-15T00:00:00"/>
    <m/>
    <s v="Male"/>
    <s v="user189@example.com"/>
    <s v="EMP"/>
    <s v="1106"/>
    <s v="1106"/>
    <s v="EVE ADAMS"/>
    <s v="eve adams"/>
    <s v="Eve Adams"/>
  </r>
  <r>
    <s v="EMP1107"/>
    <s v="Sam Wilson"/>
    <x v="5"/>
    <x v="4"/>
    <x v="102"/>
    <d v="2017-01-22T00:00:00"/>
    <n v="2"/>
    <s v="Female"/>
    <s v="user128@example.com"/>
    <s v="EMP"/>
    <s v="1107"/>
    <s v="1107"/>
    <s v="SAM WILSON"/>
    <s v="sam wilson"/>
    <s v="Sam Wilson"/>
  </r>
  <r>
    <s v="EMP1108"/>
    <s v="Sam Wilson"/>
    <x v="5"/>
    <x v="1"/>
    <x v="103"/>
    <d v="2017-01-29T00:00:00"/>
    <n v="1"/>
    <m/>
    <s v="user93@example.com"/>
    <s v="EMP"/>
    <s v="1108"/>
    <s v="1108"/>
    <s v="SAM WILSON"/>
    <s v="sam wilson"/>
    <s v="Sam Wilson"/>
  </r>
  <r>
    <s v="EMP1109"/>
    <s v="Jane Smith"/>
    <x v="4"/>
    <x v="5"/>
    <x v="104"/>
    <d v="2017-02-05T00:00:00"/>
    <n v="1"/>
    <s v="Female"/>
    <s v="user174@example.com"/>
    <s v="EMP"/>
    <s v="1109"/>
    <s v="1109"/>
    <s v="JANE SMITH"/>
    <s v="jane smith"/>
    <s v="Jane Smith"/>
  </r>
  <r>
    <s v="EMP1110"/>
    <s v="Chris Lee"/>
    <x v="6"/>
    <x v="2"/>
    <x v="105"/>
    <m/>
    <n v="2"/>
    <s v="Female"/>
    <s v="user44@example.com"/>
    <s v="EMP"/>
    <s v="1110"/>
    <s v="1110"/>
    <s v="CHRIS LEE"/>
    <s v="chris lee"/>
    <s v="Chris Lee"/>
  </r>
  <r>
    <s v="EMP1111"/>
    <s v="Chris Lee"/>
    <x v="6"/>
    <x v="3"/>
    <x v="106"/>
    <d v="2017-02-19T00:00:00"/>
    <n v="5"/>
    <s v="Female"/>
    <s v="user192@example.com"/>
    <s v="EMP"/>
    <s v="1111"/>
    <s v="1111"/>
    <s v="CHRIS LEE"/>
    <s v="chris lee"/>
    <s v="Chris Lee"/>
  </r>
  <r>
    <s v="EMP1112"/>
    <s v="Eve Adams"/>
    <x v="1"/>
    <x v="0"/>
    <x v="107"/>
    <d v="2017-02-26T00:00:00"/>
    <m/>
    <s v="Other"/>
    <s v="user76@example.com"/>
    <s v="EMP"/>
    <s v="1112"/>
    <s v="1112"/>
    <s v="EVE ADAMS"/>
    <s v="eve adams"/>
    <s v="Eve Adams"/>
  </r>
  <r>
    <s v="EMP1113"/>
    <s v="Alice Brown"/>
    <x v="2"/>
    <x v="3"/>
    <x v="108"/>
    <d v="2017-03-05T00:00:00"/>
    <n v="1"/>
    <s v="Male"/>
    <s v="user82@example.com"/>
    <s v="EMP"/>
    <s v="1113"/>
    <s v="1113"/>
    <s v="ALICE BROWN"/>
    <s v="alice brown"/>
    <s v="Alice Brown"/>
  </r>
  <r>
    <s v="EMP1114"/>
    <s v="Eve Adams"/>
    <x v="1"/>
    <x v="4"/>
    <x v="109"/>
    <d v="2017-03-12T00:00:00"/>
    <n v="4"/>
    <m/>
    <s v="user97@example.com"/>
    <s v="EMP"/>
    <s v="1114"/>
    <s v="1114"/>
    <s v="EVE ADAMS"/>
    <s v="eve adams"/>
    <s v="Eve Adams"/>
  </r>
  <r>
    <s v="EMP1115"/>
    <s v="Bob Johnson"/>
    <x v="7"/>
    <x v="1"/>
    <x v="110"/>
    <d v="2017-03-19T00:00:00"/>
    <n v="4"/>
    <s v="Female"/>
    <s v="user149@example.com"/>
    <s v="EMP"/>
    <s v="1115"/>
    <s v="1115"/>
    <s v="BOB JOHNSON"/>
    <s v="bob johnson"/>
    <s v="Bob Johnson"/>
  </r>
  <r>
    <s v="EMP1116"/>
    <s v="Bob Johnson"/>
    <x v="7"/>
    <x v="4"/>
    <x v="111"/>
    <d v="2017-03-26T00:00:00"/>
    <n v="5"/>
    <s v="Female"/>
    <s v="user192@example.com"/>
    <s v="EMP"/>
    <s v="1116"/>
    <s v="1116"/>
    <s v="BOB JOHNSON"/>
    <s v="bob johnson"/>
    <s v="Bob Johnson"/>
  </r>
  <r>
    <s v="EMP1117"/>
    <s v="Bob Johnson"/>
    <x v="7"/>
    <x v="4"/>
    <x v="112"/>
    <d v="2017-04-02T00:00:00"/>
    <n v="1"/>
    <m/>
    <s v="user137@example.com"/>
    <s v="EMP"/>
    <s v="1117"/>
    <s v="1117"/>
    <s v="BOB JOHNSON"/>
    <s v="bob johnson"/>
    <s v="Bob Johnson"/>
  </r>
  <r>
    <s v="EMP1118"/>
    <s v="Chris Lee"/>
    <x v="6"/>
    <x v="2"/>
    <x v="113"/>
    <d v="2017-04-09T00:00:00"/>
    <n v="3"/>
    <m/>
    <s v="user23@example.com"/>
    <s v="EMP"/>
    <s v="1118"/>
    <s v="1118"/>
    <s v="CHRIS LEE"/>
    <s v="chris lee"/>
    <s v="Chris Lee"/>
  </r>
  <r>
    <s v="EMP1119"/>
    <s v="Eve Adams"/>
    <x v="1"/>
    <x v="2"/>
    <x v="114"/>
    <d v="2017-04-16T00:00:00"/>
    <m/>
    <s v="Female"/>
    <s v="user200@example.com"/>
    <s v="EMP"/>
    <s v="1119"/>
    <s v="1119"/>
    <s v="EVE ADAMS"/>
    <s v="eve adams"/>
    <s v="Eve Adams"/>
  </r>
  <r>
    <s v="EMP1120"/>
    <m/>
    <x v="0"/>
    <x v="3"/>
    <x v="0"/>
    <m/>
    <n v="5"/>
    <s v="Unknown"/>
    <s v="user101@example.com"/>
    <s v="EMP"/>
    <s v="1120"/>
    <s v="1120"/>
    <s v=""/>
    <s v=""/>
    <s v=""/>
  </r>
  <r>
    <s v="EMP1121"/>
    <s v="Chris Lee"/>
    <x v="6"/>
    <x v="2"/>
    <x v="115"/>
    <d v="2017-04-30T00:00:00"/>
    <n v="2"/>
    <m/>
    <s v="user132@example.com"/>
    <s v="EMP"/>
    <s v="1121"/>
    <s v="1121"/>
    <s v="CHRIS LEE"/>
    <s v="chris lee"/>
    <s v="Chris Lee"/>
  </r>
  <r>
    <s v="EMP1122"/>
    <s v="Bob Johnson"/>
    <x v="7"/>
    <x v="2"/>
    <x v="116"/>
    <d v="2017-05-07T00:00:00"/>
    <n v="3"/>
    <s v="Male"/>
    <s v="user171@example.com"/>
    <s v="EMP"/>
    <s v="1122"/>
    <s v="1122"/>
    <s v="BOB JOHNSON"/>
    <s v="bob johnson"/>
    <s v="Bob Johnson"/>
  </r>
  <r>
    <s v="EMP1123"/>
    <s v="Jane Smith"/>
    <x v="4"/>
    <x v="5"/>
    <x v="117"/>
    <d v="2017-05-14T00:00:00"/>
    <n v="5"/>
    <s v="Male"/>
    <s v="user145@example.com"/>
    <s v="EMP"/>
    <s v="1123"/>
    <s v="1123"/>
    <s v="JANE SMITH"/>
    <s v="jane smith"/>
    <s v="Jane Smith"/>
  </r>
  <r>
    <s v="EMP1124"/>
    <s v="John Doe"/>
    <x v="3"/>
    <x v="3"/>
    <x v="118"/>
    <d v="2017-05-21T00:00:00"/>
    <n v="1"/>
    <s v="Female"/>
    <s v="user75@example.com"/>
    <s v="EMP"/>
    <s v="1124"/>
    <s v="1124"/>
    <s v="JOHN DOE"/>
    <s v="john doe"/>
    <s v="John Doe"/>
  </r>
  <r>
    <s v="EMP1125"/>
    <s v="John Doe"/>
    <x v="3"/>
    <x v="0"/>
    <x v="119"/>
    <d v="2017-05-28T00:00:00"/>
    <n v="5"/>
    <m/>
    <s v="user52@example.com"/>
    <s v="EMP"/>
    <s v="1125"/>
    <s v="1125"/>
    <s v="JOHN DOE"/>
    <s v="john doe"/>
    <s v="John Doe"/>
  </r>
  <r>
    <s v="EMP1126"/>
    <s v="Bob Johnson"/>
    <x v="7"/>
    <x v="5"/>
    <x v="120"/>
    <d v="2017-06-04T00:00:00"/>
    <n v="3"/>
    <s v="Male"/>
    <s v="user100@example.com"/>
    <s v="EMP"/>
    <s v="1126"/>
    <s v="1126"/>
    <s v="BOB JOHNSON"/>
    <s v="bob johnson"/>
    <s v="Bob Johnson"/>
  </r>
  <r>
    <s v="EMP1127"/>
    <s v="John Doe"/>
    <x v="3"/>
    <x v="0"/>
    <x v="121"/>
    <d v="2017-06-11T00:00:00"/>
    <n v="2"/>
    <s v="Male"/>
    <s v="user83@example.com"/>
    <s v="EMP"/>
    <s v="1127"/>
    <s v="1127"/>
    <s v="JOHN DOE"/>
    <s v="john doe"/>
    <s v="John Doe"/>
  </r>
  <r>
    <s v="EMP1128"/>
    <s v="Chris Lee"/>
    <x v="6"/>
    <x v="2"/>
    <x v="122"/>
    <d v="2017-06-18T00:00:00"/>
    <n v="1"/>
    <m/>
    <s v="user167@example.com"/>
    <s v="EMP"/>
    <s v="1128"/>
    <s v="1128"/>
    <s v="CHRIS LEE"/>
    <s v="chris lee"/>
    <s v="Chris Lee"/>
  </r>
  <r>
    <s v="EMP1129"/>
    <s v="Bob Johnson"/>
    <x v="7"/>
    <x v="5"/>
    <x v="123"/>
    <d v="2017-06-25T00:00:00"/>
    <m/>
    <m/>
    <s v="user175@example.com"/>
    <s v="EMP"/>
    <s v="1129"/>
    <s v="1129"/>
    <s v="BOB JOHNSON"/>
    <s v="bob johnson"/>
    <s v="Bob Johnson"/>
  </r>
  <r>
    <s v="EMP1130"/>
    <s v="Alice Brown"/>
    <x v="2"/>
    <x v="2"/>
    <x v="124"/>
    <m/>
    <n v="3"/>
    <s v="Male"/>
    <s v="user25@example.com"/>
    <s v="EMP"/>
    <s v="1130"/>
    <s v="1130"/>
    <s v="ALICE BROWN"/>
    <s v="alice brown"/>
    <s v="Alice Brown"/>
  </r>
  <r>
    <s v="EMP1131"/>
    <s v="Sam Wilson"/>
    <x v="5"/>
    <x v="4"/>
    <x v="125"/>
    <d v="2017-07-09T00:00:00"/>
    <n v="3"/>
    <s v="Other"/>
    <s v="user42@example.com"/>
    <s v="EMP"/>
    <s v="1131"/>
    <s v="1131"/>
    <s v="SAM WILSON"/>
    <s v="sam wilson"/>
    <s v="Sam Wilson"/>
  </r>
  <r>
    <s v="EMP1132"/>
    <s v="Eve Adams"/>
    <x v="1"/>
    <x v="1"/>
    <x v="126"/>
    <d v="2017-07-16T00:00:00"/>
    <n v="3"/>
    <s v="Other"/>
    <s v="user188@example.com"/>
    <s v="EMP"/>
    <s v="1132"/>
    <s v="1132"/>
    <s v="EVE ADAMS"/>
    <s v="eve adams"/>
    <s v="Eve Adams"/>
  </r>
  <r>
    <s v="EMP1133"/>
    <s v="Chris Lee"/>
    <x v="6"/>
    <x v="1"/>
    <x v="127"/>
    <d v="2017-07-23T00:00:00"/>
    <n v="3"/>
    <m/>
    <s v="user44@example.com"/>
    <s v="EMP"/>
    <s v="1133"/>
    <s v="1133"/>
    <s v="CHRIS LEE"/>
    <s v="chris lee"/>
    <s v="Chris Lee"/>
  </r>
  <r>
    <s v="EMP1134"/>
    <s v="Eve Adams"/>
    <x v="1"/>
    <x v="4"/>
    <x v="128"/>
    <d v="2017-07-30T00:00:00"/>
    <n v="1"/>
    <s v="Other"/>
    <s v="user63@example.com"/>
    <s v="EMP"/>
    <s v="1134"/>
    <s v="1134"/>
    <s v="EVE ADAMS"/>
    <s v="eve adams"/>
    <s v="Eve Adams"/>
  </r>
  <r>
    <s v="EMP1135"/>
    <m/>
    <x v="0"/>
    <x v="3"/>
    <x v="129"/>
    <d v="2017-08-06T00:00:00"/>
    <n v="3"/>
    <s v="Female"/>
    <s v="user198@example.com"/>
    <s v="EMP"/>
    <s v="1135"/>
    <s v="1135"/>
    <s v=""/>
    <s v=""/>
    <s v=""/>
  </r>
  <r>
    <s v="EMP1136"/>
    <s v="Jane Smith"/>
    <x v="4"/>
    <x v="0"/>
    <x v="130"/>
    <d v="2017-08-13T00:00:00"/>
    <n v="4"/>
    <s v="Other"/>
    <s v="user59@example.com"/>
    <s v="EMP"/>
    <s v="1136"/>
    <s v="1136"/>
    <s v="JANE SMITH"/>
    <s v="jane smith"/>
    <s v="Jane Smith"/>
  </r>
  <r>
    <s v="EMP1137"/>
    <s v="Chris Lee"/>
    <x v="6"/>
    <x v="1"/>
    <x v="131"/>
    <d v="2017-08-20T00:00:00"/>
    <m/>
    <m/>
    <s v="user165@example.com"/>
    <s v="EMP"/>
    <s v="1137"/>
    <s v="1137"/>
    <s v="CHRIS LEE"/>
    <s v="chris lee"/>
    <s v="Chris Lee"/>
  </r>
  <r>
    <s v="EMP1138"/>
    <s v="Chris Lee"/>
    <x v="6"/>
    <x v="4"/>
    <x v="132"/>
    <d v="2017-08-27T00:00:00"/>
    <n v="4"/>
    <s v="Female"/>
    <s v="user3@example.com"/>
    <s v="EMP"/>
    <s v="1138"/>
    <s v="1138"/>
    <s v="CHRIS LEE"/>
    <s v="chris lee"/>
    <s v="Chris Lee"/>
  </r>
  <r>
    <s v="EMP1139"/>
    <s v="Bob Johnson"/>
    <x v="7"/>
    <x v="3"/>
    <x v="133"/>
    <d v="2017-09-03T00:00:00"/>
    <n v="2"/>
    <m/>
    <s v="user22@example.com"/>
    <s v="EMP"/>
    <s v="1139"/>
    <s v="1139"/>
    <s v="BOB JOHNSON"/>
    <s v="bob johnson"/>
    <s v="Bob Johnson"/>
  </r>
  <r>
    <s v="EMP1140"/>
    <s v="Chris Lee"/>
    <x v="6"/>
    <x v="2"/>
    <x v="0"/>
    <d v="2017-09-10T00:00:00"/>
    <n v="4"/>
    <s v="Other"/>
    <s v="invalid_email"/>
    <s v="EMP"/>
    <s v="1140"/>
    <s v="1140"/>
    <s v="CHRIS LEE"/>
    <s v="chris lee"/>
    <s v="Chris Lee"/>
  </r>
  <r>
    <s v="EMP1141"/>
    <s v="Jane Smith"/>
    <x v="4"/>
    <x v="4"/>
    <x v="134"/>
    <d v="2017-09-17T00:00:00"/>
    <n v="5"/>
    <s v="Other"/>
    <s v="user103@example.com"/>
    <s v="EMP"/>
    <s v="1141"/>
    <s v="1141"/>
    <s v="JANE SMITH"/>
    <s v="jane smith"/>
    <s v="Jane Smith"/>
  </r>
  <r>
    <s v="EMP1142"/>
    <s v="Alice Brown"/>
    <x v="2"/>
    <x v="4"/>
    <x v="135"/>
    <d v="2017-09-24T00:00:00"/>
    <n v="3"/>
    <s v="Other"/>
    <s v="user190@example.com"/>
    <s v="EMP"/>
    <s v="1142"/>
    <s v="1142"/>
    <s v="ALICE BROWN"/>
    <s v="alice brown"/>
    <s v="Alice Brown"/>
  </r>
  <r>
    <s v="EMP1143"/>
    <s v="Chris Lee"/>
    <x v="6"/>
    <x v="2"/>
    <x v="136"/>
    <d v="2017-10-01T00:00:00"/>
    <m/>
    <m/>
    <s v="user114@example.com"/>
    <s v="EMP"/>
    <s v="1143"/>
    <s v="1143"/>
    <s v="CHRIS LEE"/>
    <s v="chris lee"/>
    <s v="Chris Lee"/>
  </r>
  <r>
    <s v="EMP1144"/>
    <s v="Eve Adams"/>
    <x v="1"/>
    <x v="5"/>
    <x v="137"/>
    <d v="2017-10-08T00:00:00"/>
    <n v="2"/>
    <m/>
    <s v="user53@example.com"/>
    <s v="EMP"/>
    <s v="1144"/>
    <s v="1144"/>
    <s v="EVE ADAMS"/>
    <s v="eve adams"/>
    <s v="Eve Adams"/>
  </r>
  <r>
    <s v="EMP1145"/>
    <s v="Sam Wilson"/>
    <x v="5"/>
    <x v="2"/>
    <x v="138"/>
    <d v="2017-10-15T00:00:00"/>
    <n v="5"/>
    <s v="Female"/>
    <s v="user188@example.com"/>
    <s v="EMP"/>
    <s v="1145"/>
    <s v="1145"/>
    <s v="SAM WILSON"/>
    <s v="sam wilson"/>
    <s v="Sam Wilson"/>
  </r>
  <r>
    <s v="EMP1146"/>
    <s v="John Doe"/>
    <x v="3"/>
    <x v="4"/>
    <x v="139"/>
    <d v="2017-10-22T00:00:00"/>
    <n v="2"/>
    <m/>
    <s v="user165@example.com"/>
    <s v="EMP"/>
    <s v="1146"/>
    <s v="1146"/>
    <s v="JOHN DOE"/>
    <s v="john doe"/>
    <s v="John Doe"/>
  </r>
  <r>
    <s v="EMP1147"/>
    <s v="Bob Johnson"/>
    <x v="7"/>
    <x v="2"/>
    <x v="140"/>
    <d v="2017-10-29T00:00:00"/>
    <n v="1"/>
    <m/>
    <s v="user163@example.com"/>
    <s v="EMP"/>
    <s v="1147"/>
    <s v="1147"/>
    <s v="BOB JOHNSON"/>
    <s v="bob johnson"/>
    <s v="Bob Johnson"/>
  </r>
  <r>
    <s v="EMP1148"/>
    <s v="Bob Johnson"/>
    <x v="7"/>
    <x v="5"/>
    <x v="141"/>
    <d v="2017-11-05T00:00:00"/>
    <n v="1"/>
    <s v="Other"/>
    <s v="user112@example.com"/>
    <s v="EMP"/>
    <s v="1148"/>
    <s v="1148"/>
    <s v="BOB JOHNSON"/>
    <s v="bob johnson"/>
    <s v="Bob Johnson"/>
  </r>
  <r>
    <s v="EMP1149"/>
    <s v="Sam Wilson"/>
    <x v="5"/>
    <x v="4"/>
    <x v="142"/>
    <d v="2017-11-12T00:00:00"/>
    <n v="5"/>
    <s v="Other"/>
    <s v="user30@example.com"/>
    <s v="EMP"/>
    <s v="1149"/>
    <s v="1149"/>
    <s v="SAM WILSON"/>
    <s v="sam wilson"/>
    <s v="Sam Wil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8:I25" firstHeaderRow="1" firstDataRow="1" firstDataCol="0"/>
  <pivotFields count="15">
    <pivotField showAll="0"/>
    <pivotField showAll="0"/>
    <pivotField showAll="0">
      <items count="9">
        <item x="0"/>
        <item x="2"/>
        <item x="7"/>
        <item x="6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9:E153" firstHeaderRow="1" firstDataRow="1" firstDataCol="1"/>
  <pivotFields count="15">
    <pivotField showAll="0"/>
    <pivotField showAll="0"/>
    <pivotField showAll="0">
      <items count="9">
        <item x="0"/>
        <item x="2"/>
        <item x="7"/>
        <item x="6"/>
        <item x="1"/>
        <item x="4"/>
        <item x="3"/>
        <item x="5"/>
        <item t="default"/>
      </items>
    </pivotField>
    <pivotField showAll="0">
      <items count="7">
        <item x="0"/>
        <item x="1"/>
        <item x="3"/>
        <item x="4"/>
        <item x="2"/>
        <item x="5"/>
        <item t="default"/>
      </items>
    </pivotField>
    <pivotField axis="axisRow" dataField="1" showAll="0">
      <items count="144">
        <item x="50"/>
        <item x="117"/>
        <item x="122"/>
        <item x="48"/>
        <item x="105"/>
        <item x="58"/>
        <item x="90"/>
        <item x="51"/>
        <item x="62"/>
        <item x="82"/>
        <item x="39"/>
        <item x="106"/>
        <item x="125"/>
        <item x="81"/>
        <item x="41"/>
        <item x="7"/>
        <item x="138"/>
        <item x="22"/>
        <item x="60"/>
        <item x="21"/>
        <item x="126"/>
        <item x="85"/>
        <item x="111"/>
        <item x="129"/>
        <item x="49"/>
        <item x="71"/>
        <item x="17"/>
        <item x="26"/>
        <item x="65"/>
        <item x="97"/>
        <item x="78"/>
        <item x="114"/>
        <item x="109"/>
        <item x="80"/>
        <item x="115"/>
        <item x="127"/>
        <item x="108"/>
        <item x="38"/>
        <item x="124"/>
        <item x="101"/>
        <item x="27"/>
        <item x="86"/>
        <item x="116"/>
        <item x="37"/>
        <item x="24"/>
        <item x="1"/>
        <item x="34"/>
        <item x="83"/>
        <item x="69"/>
        <item x="139"/>
        <item x="45"/>
        <item x="43"/>
        <item x="14"/>
        <item x="54"/>
        <item x="118"/>
        <item x="130"/>
        <item x="99"/>
        <item x="64"/>
        <item x="13"/>
        <item x="128"/>
        <item x="123"/>
        <item x="2"/>
        <item x="84"/>
        <item x="4"/>
        <item x="10"/>
        <item x="36"/>
        <item x="40"/>
        <item x="140"/>
        <item x="76"/>
        <item x="96"/>
        <item x="46"/>
        <item x="103"/>
        <item x="134"/>
        <item x="141"/>
        <item x="19"/>
        <item x="6"/>
        <item x="74"/>
        <item x="87"/>
        <item x="67"/>
        <item x="95"/>
        <item x="94"/>
        <item x="120"/>
        <item x="92"/>
        <item x="133"/>
        <item x="112"/>
        <item x="18"/>
        <item x="53"/>
        <item x="52"/>
        <item x="89"/>
        <item x="25"/>
        <item x="66"/>
        <item x="75"/>
        <item x="107"/>
        <item x="5"/>
        <item x="47"/>
        <item x="98"/>
        <item x="33"/>
        <item x="88"/>
        <item x="42"/>
        <item x="57"/>
        <item x="61"/>
        <item x="132"/>
        <item x="56"/>
        <item x="131"/>
        <item x="68"/>
        <item x="102"/>
        <item x="135"/>
        <item x="100"/>
        <item x="104"/>
        <item x="93"/>
        <item x="35"/>
        <item x="119"/>
        <item x="16"/>
        <item x="23"/>
        <item x="70"/>
        <item x="11"/>
        <item x="136"/>
        <item x="9"/>
        <item x="121"/>
        <item x="29"/>
        <item x="30"/>
        <item x="110"/>
        <item x="15"/>
        <item x="44"/>
        <item x="28"/>
        <item x="137"/>
        <item x="73"/>
        <item x="3"/>
        <item x="113"/>
        <item x="32"/>
        <item x="31"/>
        <item x="77"/>
        <item x="91"/>
        <item x="72"/>
        <item x="63"/>
        <item x="12"/>
        <item x="55"/>
        <item x="8"/>
        <item x="59"/>
        <item x="142"/>
        <item x="20"/>
        <item x="7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dataFields count="1">
    <dataField name="Average of Salary" fld="4" subtotal="average" baseField="4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B24" firstHeaderRow="1" firstDataRow="1" firstDataCol="1"/>
  <pivotFields count="15">
    <pivotField showAll="0"/>
    <pivotField showAll="0"/>
    <pivotField showAll="0">
      <items count="9">
        <item x="0"/>
        <item x="2"/>
        <item x="7"/>
        <item x="6"/>
        <item x="1"/>
        <item x="4"/>
        <item x="3"/>
        <item x="5"/>
        <item t="default"/>
      </items>
    </pivotField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erformance Rating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15">
    <pivotField showAll="0"/>
    <pivotField showAll="0"/>
    <pivotField axis="axisRow" showAll="0">
      <items count="9">
        <item x="0"/>
        <item x="2"/>
        <item x="7"/>
        <item x="6"/>
        <item x="1"/>
        <item x="4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te of Joining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27" totalsRowShown="0">
  <autoFilter ref="A1:O27"/>
  <tableColumns count="15">
    <tableColumn id="1" name="Employee ID"/>
    <tableColumn id="2" name="Name"/>
    <tableColumn id="3" name="Name2"/>
    <tableColumn id="4" name="Department"/>
    <tableColumn id="5" name="Salary"/>
    <tableColumn id="6" name="Date of Joining" dataDxfId="0"/>
    <tableColumn id="7" name="Performance Rating"/>
    <tableColumn id="8" name="Gender"/>
    <tableColumn id="9" name="Email"/>
    <tableColumn id="10" name="Left"/>
    <tableColumn id="11" name="Mid"/>
    <tableColumn id="12" name="Right"/>
    <tableColumn id="13" name="Upper"/>
    <tableColumn id="14" name="Lower"/>
    <tableColumn id="15" name="Prop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O151" totalsRowShown="0" headerRowDxfId="18" dataDxfId="16" headerRowBorderDxfId="17">
  <autoFilter ref="A1:O151"/>
  <tableColumns count="15">
    <tableColumn id="1" name="Employee ID" dataDxfId="15"/>
    <tableColumn id="2" name="Name" dataDxfId="7"/>
    <tableColumn id="12" name="Name2" dataDxfId="8">
      <calculatedColumnFormula>TRIM(B2)</calculatedColumnFormula>
    </tableColumn>
    <tableColumn id="3" name="Department" dataDxfId="14"/>
    <tableColumn id="5" name="Salary" dataDxfId="13"/>
    <tableColumn id="6" name="Date of Joining" dataDxfId="12"/>
    <tableColumn id="7" name="Performance Rating" dataDxfId="11"/>
    <tableColumn id="8" name="Gender" dataDxfId="10"/>
    <tableColumn id="9" name="Email" dataDxfId="9"/>
    <tableColumn id="4" name="Left" dataDxfId="6">
      <calculatedColumnFormula>LEFT(A2,3)</calculatedColumnFormula>
    </tableColumn>
    <tableColumn id="17" name="Mid" dataDxfId="5">
      <calculatedColumnFormula>MID(A2,4,4)</calculatedColumnFormula>
    </tableColumn>
    <tableColumn id="18" name="Right" dataDxfId="4">
      <calculatedColumnFormula>RIGHT(A2,4)</calculatedColumnFormula>
    </tableColumn>
    <tableColumn id="19" name="Upper" dataDxfId="3">
      <calculatedColumnFormula>UPPER(C2)</calculatedColumnFormula>
    </tableColumn>
    <tableColumn id="20" name="Lower" dataDxfId="2">
      <calculatedColumnFormula>LOWER(C2)</calculatedColumnFormula>
    </tableColumn>
    <tableColumn id="21" name="Proper" dataDxfId="1">
      <calculatedColumnFormula>PROPER(C2)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sqref="A1:O27"/>
    </sheetView>
  </sheetViews>
  <sheetFormatPr defaultRowHeight="14.25"/>
  <cols>
    <col min="1" max="1" width="13.75" customWidth="1"/>
    <col min="4" max="4" width="13.125" customWidth="1"/>
    <col min="6" max="6" width="16.125" customWidth="1"/>
    <col min="7" max="7" width="20.375" customWidth="1"/>
    <col min="8" max="8" width="9.5" customWidth="1"/>
  </cols>
  <sheetData>
    <row r="1" spans="1:15">
      <c r="A1" t="s">
        <v>0</v>
      </c>
      <c r="B1" t="s">
        <v>1</v>
      </c>
      <c r="C1" t="s">
        <v>290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289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</row>
    <row r="2" spans="1:15">
      <c r="A2" t="s">
        <v>269</v>
      </c>
      <c r="B2" t="s">
        <v>48</v>
      </c>
      <c r="C2" t="s">
        <v>48</v>
      </c>
      <c r="D2" t="s">
        <v>23</v>
      </c>
      <c r="E2">
        <v>65270</v>
      </c>
      <c r="F2" s="37">
        <v>43037</v>
      </c>
      <c r="G2">
        <v>1</v>
      </c>
      <c r="I2" t="s">
        <v>270</v>
      </c>
      <c r="J2" t="s">
        <v>301</v>
      </c>
      <c r="K2" t="s">
        <v>302</v>
      </c>
      <c r="L2" t="s">
        <v>302</v>
      </c>
      <c r="M2" t="s">
        <v>303</v>
      </c>
      <c r="N2" t="s">
        <v>304</v>
      </c>
      <c r="O2" t="s">
        <v>48</v>
      </c>
    </row>
    <row r="3" spans="1:15">
      <c r="A3" t="s">
        <v>267</v>
      </c>
      <c r="B3" t="s">
        <v>34</v>
      </c>
      <c r="C3" t="s">
        <v>34</v>
      </c>
      <c r="D3" t="s">
        <v>23</v>
      </c>
      <c r="E3">
        <v>35627</v>
      </c>
      <c r="F3" s="37">
        <v>43023</v>
      </c>
      <c r="G3">
        <v>5</v>
      </c>
      <c r="H3" t="s">
        <v>31</v>
      </c>
      <c r="I3" t="s">
        <v>251</v>
      </c>
      <c r="J3" t="s">
        <v>301</v>
      </c>
      <c r="K3" t="s">
        <v>305</v>
      </c>
      <c r="L3" t="s">
        <v>305</v>
      </c>
      <c r="M3" t="s">
        <v>306</v>
      </c>
      <c r="N3" t="s">
        <v>307</v>
      </c>
      <c r="O3" t="s">
        <v>34</v>
      </c>
    </row>
    <row r="4" spans="1:15">
      <c r="A4" t="s">
        <v>263</v>
      </c>
      <c r="B4" t="s">
        <v>36</v>
      </c>
      <c r="C4" t="s">
        <v>36</v>
      </c>
      <c r="D4" t="s">
        <v>23</v>
      </c>
      <c r="E4">
        <v>91620</v>
      </c>
      <c r="F4" s="37">
        <v>43009</v>
      </c>
      <c r="I4" t="s">
        <v>264</v>
      </c>
      <c r="J4" t="s">
        <v>301</v>
      </c>
      <c r="K4" t="s">
        <v>308</v>
      </c>
      <c r="L4" t="s">
        <v>308</v>
      </c>
      <c r="M4" t="s">
        <v>309</v>
      </c>
      <c r="N4" t="s">
        <v>310</v>
      </c>
      <c r="O4" t="s">
        <v>36</v>
      </c>
    </row>
    <row r="5" spans="1:15">
      <c r="A5" t="s">
        <v>21</v>
      </c>
      <c r="B5" t="s">
        <v>22</v>
      </c>
      <c r="C5" t="s">
        <v>22</v>
      </c>
      <c r="D5" t="s">
        <v>23</v>
      </c>
      <c r="E5">
        <v>94406</v>
      </c>
      <c r="F5" s="37">
        <v>42029</v>
      </c>
      <c r="G5">
        <v>1</v>
      </c>
      <c r="H5" t="s">
        <v>24</v>
      </c>
      <c r="I5" t="s">
        <v>25</v>
      </c>
      <c r="J5" t="s">
        <v>301</v>
      </c>
      <c r="K5" t="s">
        <v>311</v>
      </c>
      <c r="L5" t="s">
        <v>311</v>
      </c>
      <c r="M5" t="s">
        <v>312</v>
      </c>
      <c r="N5" t="s">
        <v>313</v>
      </c>
      <c r="O5" t="s">
        <v>22</v>
      </c>
    </row>
    <row r="6" spans="1:15">
      <c r="A6" t="s">
        <v>26</v>
      </c>
      <c r="B6" t="s">
        <v>27</v>
      </c>
      <c r="C6" t="s">
        <v>27</v>
      </c>
      <c r="D6" t="s">
        <v>23</v>
      </c>
      <c r="E6">
        <v>64120</v>
      </c>
      <c r="F6" s="37">
        <v>42036</v>
      </c>
      <c r="G6">
        <v>1</v>
      </c>
      <c r="H6" t="s">
        <v>24</v>
      </c>
      <c r="I6" t="s">
        <v>28</v>
      </c>
      <c r="J6" t="s">
        <v>301</v>
      </c>
      <c r="K6" t="s">
        <v>314</v>
      </c>
      <c r="L6" t="s">
        <v>314</v>
      </c>
      <c r="M6" t="s">
        <v>315</v>
      </c>
      <c r="N6" t="s">
        <v>316</v>
      </c>
      <c r="O6" t="s">
        <v>27</v>
      </c>
    </row>
    <row r="7" spans="1:15">
      <c r="A7" t="s">
        <v>260</v>
      </c>
      <c r="B7" t="s">
        <v>36</v>
      </c>
      <c r="C7" t="s">
        <v>36</v>
      </c>
      <c r="D7" t="s">
        <v>23</v>
      </c>
      <c r="E7" t="s">
        <v>10</v>
      </c>
      <c r="F7" s="37">
        <v>42988</v>
      </c>
      <c r="G7">
        <v>4</v>
      </c>
      <c r="H7" t="s">
        <v>16</v>
      </c>
      <c r="I7" t="s">
        <v>12</v>
      </c>
      <c r="J7" t="s">
        <v>301</v>
      </c>
      <c r="K7" t="s">
        <v>317</v>
      </c>
      <c r="L7" t="s">
        <v>317</v>
      </c>
      <c r="M7" t="s">
        <v>309</v>
      </c>
      <c r="N7" t="s">
        <v>310</v>
      </c>
      <c r="O7" t="s">
        <v>36</v>
      </c>
    </row>
    <row r="8" spans="1:15">
      <c r="A8" t="s">
        <v>33</v>
      </c>
      <c r="B8" t="s">
        <v>34</v>
      </c>
      <c r="C8" t="s">
        <v>34</v>
      </c>
      <c r="D8" t="s">
        <v>23</v>
      </c>
      <c r="E8">
        <v>67721</v>
      </c>
      <c r="F8" s="37">
        <v>42050</v>
      </c>
      <c r="H8" t="s">
        <v>24</v>
      </c>
      <c r="I8" t="s">
        <v>25</v>
      </c>
      <c r="J8" t="s">
        <v>301</v>
      </c>
      <c r="K8" t="s">
        <v>318</v>
      </c>
      <c r="L8" t="s">
        <v>318</v>
      </c>
      <c r="M8" t="s">
        <v>306</v>
      </c>
      <c r="N8" t="s">
        <v>307</v>
      </c>
      <c r="O8" t="s">
        <v>34</v>
      </c>
    </row>
    <row r="9" spans="1:15">
      <c r="A9" t="s">
        <v>248</v>
      </c>
      <c r="B9" t="s">
        <v>19</v>
      </c>
      <c r="C9" t="s">
        <v>19</v>
      </c>
      <c r="D9" t="s">
        <v>23</v>
      </c>
      <c r="E9">
        <v>48289</v>
      </c>
      <c r="G9">
        <v>3</v>
      </c>
      <c r="H9" t="s">
        <v>24</v>
      </c>
      <c r="I9" t="s">
        <v>40</v>
      </c>
      <c r="J9" t="s">
        <v>301</v>
      </c>
      <c r="K9" t="s">
        <v>319</v>
      </c>
      <c r="L9" t="s">
        <v>319</v>
      </c>
      <c r="M9" t="s">
        <v>320</v>
      </c>
      <c r="N9" t="s">
        <v>321</v>
      </c>
      <c r="O9" t="s">
        <v>19</v>
      </c>
    </row>
    <row r="10" spans="1:15">
      <c r="A10" t="s">
        <v>245</v>
      </c>
      <c r="B10" t="s">
        <v>36</v>
      </c>
      <c r="C10" t="s">
        <v>36</v>
      </c>
      <c r="D10" t="s">
        <v>23</v>
      </c>
      <c r="E10">
        <v>30402</v>
      </c>
      <c r="F10" s="37">
        <v>42904</v>
      </c>
      <c r="G10">
        <v>1</v>
      </c>
      <c r="I10" t="s">
        <v>246</v>
      </c>
      <c r="J10" t="s">
        <v>301</v>
      </c>
      <c r="K10" t="s">
        <v>322</v>
      </c>
      <c r="L10" t="s">
        <v>322</v>
      </c>
      <c r="M10" t="s">
        <v>309</v>
      </c>
      <c r="N10" t="s">
        <v>310</v>
      </c>
      <c r="O10" t="s">
        <v>36</v>
      </c>
    </row>
    <row r="11" spans="1:15">
      <c r="A11" t="s">
        <v>235</v>
      </c>
      <c r="B11" t="s">
        <v>48</v>
      </c>
      <c r="C11" t="s">
        <v>48</v>
      </c>
      <c r="D11" t="s">
        <v>23</v>
      </c>
      <c r="E11">
        <v>52036</v>
      </c>
      <c r="F11" s="37">
        <v>42862</v>
      </c>
      <c r="G11">
        <v>3</v>
      </c>
      <c r="H11" t="s">
        <v>24</v>
      </c>
      <c r="I11" t="s">
        <v>236</v>
      </c>
      <c r="J11" t="s">
        <v>301</v>
      </c>
      <c r="K11" t="s">
        <v>323</v>
      </c>
      <c r="L11" t="s">
        <v>323</v>
      </c>
      <c r="M11" t="s">
        <v>303</v>
      </c>
      <c r="N11" t="s">
        <v>304</v>
      </c>
      <c r="O11" t="s">
        <v>48</v>
      </c>
    </row>
    <row r="12" spans="1:15">
      <c r="A12" t="s">
        <v>233</v>
      </c>
      <c r="B12" t="s">
        <v>36</v>
      </c>
      <c r="C12" t="s">
        <v>36</v>
      </c>
      <c r="D12" t="s">
        <v>23</v>
      </c>
      <c r="E12">
        <v>45676</v>
      </c>
      <c r="F12" s="37">
        <v>42855</v>
      </c>
      <c r="G12">
        <v>2</v>
      </c>
      <c r="I12" t="s">
        <v>234</v>
      </c>
      <c r="J12" t="s">
        <v>301</v>
      </c>
      <c r="K12" t="s">
        <v>324</v>
      </c>
      <c r="L12" t="s">
        <v>324</v>
      </c>
      <c r="M12" t="s">
        <v>309</v>
      </c>
      <c r="N12" t="s">
        <v>310</v>
      </c>
      <c r="O12" t="s">
        <v>36</v>
      </c>
    </row>
    <row r="13" spans="1:15">
      <c r="A13" t="s">
        <v>230</v>
      </c>
      <c r="B13" t="s">
        <v>14</v>
      </c>
      <c r="C13" t="s">
        <v>14</v>
      </c>
      <c r="D13" t="s">
        <v>23</v>
      </c>
      <c r="E13">
        <v>44358</v>
      </c>
      <c r="F13" s="37">
        <v>42841</v>
      </c>
      <c r="H13" t="s">
        <v>31</v>
      </c>
      <c r="I13" t="s">
        <v>64</v>
      </c>
      <c r="J13" t="s">
        <v>301</v>
      </c>
      <c r="K13" t="s">
        <v>325</v>
      </c>
      <c r="L13" t="s">
        <v>325</v>
      </c>
      <c r="M13" t="s">
        <v>326</v>
      </c>
      <c r="N13" t="s">
        <v>327</v>
      </c>
      <c r="O13" t="s">
        <v>14</v>
      </c>
    </row>
    <row r="14" spans="1:15">
      <c r="A14" t="s">
        <v>47</v>
      </c>
      <c r="B14" t="s">
        <v>48</v>
      </c>
      <c r="C14" t="s">
        <v>48</v>
      </c>
      <c r="D14" t="s">
        <v>23</v>
      </c>
      <c r="E14">
        <v>96418</v>
      </c>
      <c r="F14" s="37">
        <v>42092</v>
      </c>
      <c r="G14">
        <v>5</v>
      </c>
      <c r="H14" t="s">
        <v>24</v>
      </c>
      <c r="I14" t="s">
        <v>17</v>
      </c>
      <c r="J14" t="s">
        <v>301</v>
      </c>
      <c r="K14" t="s">
        <v>328</v>
      </c>
      <c r="L14" t="s">
        <v>328</v>
      </c>
      <c r="M14" t="s">
        <v>303</v>
      </c>
      <c r="N14" t="s">
        <v>304</v>
      </c>
      <c r="O14" t="s">
        <v>48</v>
      </c>
    </row>
    <row r="15" spans="1:15">
      <c r="A15" t="s">
        <v>228</v>
      </c>
      <c r="B15" t="s">
        <v>36</v>
      </c>
      <c r="C15" t="s">
        <v>36</v>
      </c>
      <c r="D15" t="s">
        <v>23</v>
      </c>
      <c r="E15">
        <v>95032</v>
      </c>
      <c r="F15" s="37">
        <v>42834</v>
      </c>
      <c r="G15">
        <v>3</v>
      </c>
      <c r="I15" t="s">
        <v>229</v>
      </c>
      <c r="J15" t="s">
        <v>301</v>
      </c>
      <c r="K15" t="s">
        <v>329</v>
      </c>
      <c r="L15" t="s">
        <v>329</v>
      </c>
      <c r="M15" t="s">
        <v>309</v>
      </c>
      <c r="N15" t="s">
        <v>310</v>
      </c>
      <c r="O15" t="s">
        <v>36</v>
      </c>
    </row>
    <row r="16" spans="1:15">
      <c r="A16" t="s">
        <v>217</v>
      </c>
      <c r="B16" t="s">
        <v>36</v>
      </c>
      <c r="C16" t="s">
        <v>36</v>
      </c>
      <c r="D16" t="s">
        <v>23</v>
      </c>
      <c r="E16">
        <v>31293</v>
      </c>
      <c r="G16">
        <v>2</v>
      </c>
      <c r="H16" t="s">
        <v>31</v>
      </c>
      <c r="I16" t="s">
        <v>218</v>
      </c>
      <c r="J16" t="s">
        <v>301</v>
      </c>
      <c r="K16" t="s">
        <v>330</v>
      </c>
      <c r="L16" t="s">
        <v>330</v>
      </c>
      <c r="M16" t="s">
        <v>309</v>
      </c>
      <c r="N16" t="s">
        <v>310</v>
      </c>
      <c r="O16" t="s">
        <v>36</v>
      </c>
    </row>
    <row r="17" spans="1:15">
      <c r="A17" t="s">
        <v>174</v>
      </c>
      <c r="B17" t="s">
        <v>34</v>
      </c>
      <c r="C17" t="s">
        <v>34</v>
      </c>
      <c r="D17" t="s">
        <v>23</v>
      </c>
      <c r="E17">
        <v>99621</v>
      </c>
      <c r="F17" s="37">
        <v>42589</v>
      </c>
      <c r="H17" t="s">
        <v>16</v>
      </c>
      <c r="I17" t="s">
        <v>175</v>
      </c>
      <c r="J17" t="s">
        <v>301</v>
      </c>
      <c r="K17" t="s">
        <v>331</v>
      </c>
      <c r="L17" t="s">
        <v>331</v>
      </c>
      <c r="M17" t="s">
        <v>306</v>
      </c>
      <c r="N17" t="s">
        <v>307</v>
      </c>
      <c r="O17" t="s">
        <v>34</v>
      </c>
    </row>
    <row r="18" spans="1:15">
      <c r="A18" t="s">
        <v>170</v>
      </c>
      <c r="B18" t="s">
        <v>27</v>
      </c>
      <c r="C18" t="s">
        <v>27</v>
      </c>
      <c r="D18" t="s">
        <v>23</v>
      </c>
      <c r="E18">
        <v>95621</v>
      </c>
      <c r="F18" s="37">
        <v>42575</v>
      </c>
      <c r="G18">
        <v>3</v>
      </c>
      <c r="H18" t="s">
        <v>31</v>
      </c>
      <c r="I18" t="s">
        <v>171</v>
      </c>
      <c r="J18" t="s">
        <v>301</v>
      </c>
      <c r="K18" t="s">
        <v>332</v>
      </c>
      <c r="L18" t="s">
        <v>332</v>
      </c>
      <c r="M18" t="s">
        <v>315</v>
      </c>
      <c r="N18" t="s">
        <v>316</v>
      </c>
      <c r="O18" t="s">
        <v>27</v>
      </c>
    </row>
    <row r="19" spans="1:15">
      <c r="A19" t="s">
        <v>167</v>
      </c>
      <c r="B19" t="s">
        <v>36</v>
      </c>
      <c r="C19" t="s">
        <v>36</v>
      </c>
      <c r="D19" t="s">
        <v>23</v>
      </c>
      <c r="E19">
        <v>66079</v>
      </c>
      <c r="F19" s="37">
        <v>42561</v>
      </c>
      <c r="G19">
        <v>2</v>
      </c>
      <c r="H19" t="s">
        <v>16</v>
      </c>
      <c r="I19" t="s">
        <v>168</v>
      </c>
      <c r="J19" t="s">
        <v>301</v>
      </c>
      <c r="K19" t="s">
        <v>333</v>
      </c>
      <c r="L19" t="s">
        <v>333</v>
      </c>
      <c r="M19" t="s">
        <v>309</v>
      </c>
      <c r="N19" t="s">
        <v>310</v>
      </c>
      <c r="O19" t="s">
        <v>36</v>
      </c>
    </row>
    <row r="20" spans="1:15">
      <c r="A20" t="s">
        <v>160</v>
      </c>
      <c r="C20" t="s">
        <v>334</v>
      </c>
      <c r="D20" t="s">
        <v>23</v>
      </c>
      <c r="E20">
        <v>96142</v>
      </c>
      <c r="F20" s="37">
        <v>42533</v>
      </c>
      <c r="G20">
        <v>1</v>
      </c>
      <c r="H20" t="s">
        <v>16</v>
      </c>
      <c r="I20" t="s">
        <v>161</v>
      </c>
      <c r="J20" t="s">
        <v>301</v>
      </c>
      <c r="K20" t="s">
        <v>335</v>
      </c>
      <c r="L20" t="s">
        <v>335</v>
      </c>
      <c r="M20" t="s">
        <v>334</v>
      </c>
      <c r="N20" t="s">
        <v>334</v>
      </c>
      <c r="O20" t="s">
        <v>334</v>
      </c>
    </row>
    <row r="21" spans="1:15">
      <c r="A21" t="s">
        <v>158</v>
      </c>
      <c r="B21" t="s">
        <v>22</v>
      </c>
      <c r="C21" t="s">
        <v>22</v>
      </c>
      <c r="D21" t="s">
        <v>23</v>
      </c>
      <c r="E21">
        <v>91101</v>
      </c>
      <c r="F21" s="37">
        <v>42519</v>
      </c>
      <c r="G21">
        <v>4</v>
      </c>
      <c r="H21" t="s">
        <v>31</v>
      </c>
      <c r="I21" t="s">
        <v>140</v>
      </c>
      <c r="J21" t="s">
        <v>301</v>
      </c>
      <c r="K21" t="s">
        <v>336</v>
      </c>
      <c r="L21" t="s">
        <v>336</v>
      </c>
      <c r="M21" t="s">
        <v>312</v>
      </c>
      <c r="N21" t="s">
        <v>313</v>
      </c>
      <c r="O21" t="s">
        <v>22</v>
      </c>
    </row>
    <row r="22" spans="1:15">
      <c r="A22" t="s">
        <v>154</v>
      </c>
      <c r="B22" t="s">
        <v>14</v>
      </c>
      <c r="C22" t="s">
        <v>14</v>
      </c>
      <c r="D22" t="s">
        <v>23</v>
      </c>
      <c r="E22">
        <v>69952</v>
      </c>
      <c r="F22" s="37">
        <v>42498</v>
      </c>
      <c r="G22">
        <v>5</v>
      </c>
      <c r="H22" t="s">
        <v>31</v>
      </c>
      <c r="I22" t="s">
        <v>12</v>
      </c>
      <c r="J22" t="s">
        <v>301</v>
      </c>
      <c r="K22" t="s">
        <v>337</v>
      </c>
      <c r="L22" t="s">
        <v>337</v>
      </c>
      <c r="M22" t="s">
        <v>326</v>
      </c>
      <c r="N22" t="s">
        <v>327</v>
      </c>
      <c r="O22" t="s">
        <v>14</v>
      </c>
    </row>
    <row r="23" spans="1:15">
      <c r="A23" t="s">
        <v>149</v>
      </c>
      <c r="B23" t="s">
        <v>19</v>
      </c>
      <c r="C23" t="s">
        <v>19</v>
      </c>
      <c r="D23" t="s">
        <v>23</v>
      </c>
      <c r="E23">
        <v>61942</v>
      </c>
      <c r="F23" s="37">
        <v>42477</v>
      </c>
      <c r="G23">
        <v>3</v>
      </c>
      <c r="H23" t="s">
        <v>31</v>
      </c>
      <c r="I23" t="s">
        <v>150</v>
      </c>
      <c r="J23" t="s">
        <v>301</v>
      </c>
      <c r="K23" t="s">
        <v>338</v>
      </c>
      <c r="L23" t="s">
        <v>338</v>
      </c>
      <c r="M23" t="s">
        <v>320</v>
      </c>
      <c r="N23" t="s">
        <v>321</v>
      </c>
      <c r="O23" t="s">
        <v>19</v>
      </c>
    </row>
    <row r="24" spans="1:15">
      <c r="A24" t="s">
        <v>130</v>
      </c>
      <c r="B24" t="s">
        <v>22</v>
      </c>
      <c r="C24" t="s">
        <v>22</v>
      </c>
      <c r="D24" t="s">
        <v>23</v>
      </c>
      <c r="E24">
        <v>60011</v>
      </c>
      <c r="F24" s="37">
        <v>42400</v>
      </c>
      <c r="G24">
        <v>1</v>
      </c>
      <c r="H24" t="s">
        <v>24</v>
      </c>
      <c r="I24" t="s">
        <v>131</v>
      </c>
      <c r="J24" t="s">
        <v>301</v>
      </c>
      <c r="K24" t="s">
        <v>339</v>
      </c>
      <c r="L24" t="s">
        <v>339</v>
      </c>
      <c r="M24" t="s">
        <v>312</v>
      </c>
      <c r="N24" t="s">
        <v>313</v>
      </c>
      <c r="O24" t="s">
        <v>22</v>
      </c>
    </row>
    <row r="25" spans="1:15">
      <c r="A25" t="s">
        <v>121</v>
      </c>
      <c r="B25" t="s">
        <v>34</v>
      </c>
      <c r="C25" t="s">
        <v>34</v>
      </c>
      <c r="D25" t="s">
        <v>23</v>
      </c>
      <c r="E25">
        <v>39423</v>
      </c>
      <c r="F25" s="37">
        <v>42365</v>
      </c>
      <c r="G25">
        <v>5</v>
      </c>
      <c r="I25" t="s">
        <v>122</v>
      </c>
      <c r="J25" t="s">
        <v>301</v>
      </c>
      <c r="K25" t="s">
        <v>340</v>
      </c>
      <c r="L25" t="s">
        <v>340</v>
      </c>
      <c r="M25" t="s">
        <v>306</v>
      </c>
      <c r="N25" t="s">
        <v>307</v>
      </c>
      <c r="O25" t="s">
        <v>34</v>
      </c>
    </row>
    <row r="26" spans="1:15">
      <c r="A26" t="s">
        <v>91</v>
      </c>
      <c r="B26" t="s">
        <v>22</v>
      </c>
      <c r="C26" t="s">
        <v>22</v>
      </c>
      <c r="D26" t="s">
        <v>23</v>
      </c>
      <c r="E26">
        <v>79549</v>
      </c>
      <c r="F26" s="37">
        <v>42246</v>
      </c>
      <c r="G26">
        <v>3</v>
      </c>
      <c r="I26" t="s">
        <v>92</v>
      </c>
      <c r="J26" t="s">
        <v>301</v>
      </c>
      <c r="K26" t="s">
        <v>341</v>
      </c>
      <c r="L26" t="s">
        <v>341</v>
      </c>
      <c r="M26" t="s">
        <v>312</v>
      </c>
      <c r="N26" t="s">
        <v>313</v>
      </c>
      <c r="O26" t="s">
        <v>22</v>
      </c>
    </row>
    <row r="27" spans="1:15">
      <c r="A27" t="s">
        <v>75</v>
      </c>
      <c r="B27" t="s">
        <v>14</v>
      </c>
      <c r="C27" t="s">
        <v>14</v>
      </c>
      <c r="D27" t="s">
        <v>23</v>
      </c>
      <c r="E27">
        <v>76518</v>
      </c>
      <c r="F27" s="37">
        <v>42190</v>
      </c>
      <c r="G27">
        <v>2</v>
      </c>
      <c r="H27" t="s">
        <v>31</v>
      </c>
      <c r="I27" t="s">
        <v>76</v>
      </c>
      <c r="J27" t="s">
        <v>301</v>
      </c>
      <c r="K27" t="s">
        <v>342</v>
      </c>
      <c r="L27" t="s">
        <v>342</v>
      </c>
      <c r="M27" t="s">
        <v>326</v>
      </c>
      <c r="N27" t="s">
        <v>327</v>
      </c>
      <c r="O2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53"/>
  <sheetViews>
    <sheetView workbookViewId="0">
      <selection activeCell="C21" sqref="C21"/>
    </sheetView>
  </sheetViews>
  <sheetFormatPr defaultRowHeight="14.25"/>
  <cols>
    <col min="1" max="1" width="13.125" bestFit="1" customWidth="1"/>
    <col min="2" max="2" width="22.75" bestFit="1" customWidth="1"/>
    <col min="5" max="6" width="13.125" customWidth="1"/>
    <col min="7" max="7" width="22.75" customWidth="1"/>
  </cols>
  <sheetData>
    <row r="3" spans="1:11">
      <c r="A3" s="34" t="s">
        <v>296</v>
      </c>
      <c r="B3" t="s">
        <v>298</v>
      </c>
    </row>
    <row r="4" spans="1:11">
      <c r="A4" s="35"/>
      <c r="B4" s="36">
        <v>6</v>
      </c>
    </row>
    <row r="5" spans="1:11">
      <c r="A5" s="35" t="s">
        <v>19</v>
      </c>
      <c r="B5" s="36">
        <v>19</v>
      </c>
    </row>
    <row r="6" spans="1:11">
      <c r="A6" s="35" t="s">
        <v>48</v>
      </c>
      <c r="B6" s="36">
        <v>20</v>
      </c>
      <c r="D6" s="1"/>
      <c r="E6" s="1"/>
      <c r="I6" s="1"/>
      <c r="J6" s="1"/>
      <c r="K6" s="1"/>
    </row>
    <row r="7" spans="1:11">
      <c r="A7" s="35" t="s">
        <v>36</v>
      </c>
      <c r="B7" s="36">
        <v>23</v>
      </c>
      <c r="D7" s="1"/>
      <c r="E7" s="1"/>
      <c r="G7" s="1"/>
      <c r="H7" s="1"/>
      <c r="I7" s="1"/>
      <c r="K7" s="1"/>
    </row>
    <row r="8" spans="1:11">
      <c r="A8" s="35" t="s">
        <v>14</v>
      </c>
      <c r="B8" s="36">
        <v>23</v>
      </c>
      <c r="D8" s="1"/>
      <c r="E8" s="1"/>
      <c r="G8" s="25"/>
      <c r="H8" s="26"/>
      <c r="I8" s="27"/>
      <c r="K8" s="1"/>
    </row>
    <row r="9" spans="1:11">
      <c r="A9" s="35" t="s">
        <v>27</v>
      </c>
      <c r="B9" s="36">
        <v>15</v>
      </c>
      <c r="D9" s="34" t="s">
        <v>296</v>
      </c>
      <c r="E9" t="s">
        <v>343</v>
      </c>
      <c r="G9" s="28"/>
      <c r="H9" s="29"/>
      <c r="I9" s="30"/>
      <c r="K9" s="1"/>
    </row>
    <row r="10" spans="1:11">
      <c r="A10" s="35" t="s">
        <v>22</v>
      </c>
      <c r="B10" s="36">
        <v>13</v>
      </c>
      <c r="D10" s="35">
        <v>30280</v>
      </c>
      <c r="E10" s="36">
        <v>30280</v>
      </c>
      <c r="G10" s="28"/>
      <c r="H10" s="29"/>
      <c r="I10" s="30"/>
      <c r="K10" s="1"/>
    </row>
    <row r="11" spans="1:11">
      <c r="A11" s="35" t="s">
        <v>34</v>
      </c>
      <c r="B11" s="36">
        <v>22</v>
      </c>
      <c r="D11" s="35">
        <v>30357</v>
      </c>
      <c r="E11" s="36">
        <v>30357</v>
      </c>
      <c r="G11" s="28"/>
      <c r="H11" s="29"/>
      <c r="I11" s="30"/>
      <c r="K11" s="1"/>
    </row>
    <row r="12" spans="1:11">
      <c r="A12" s="35" t="s">
        <v>297</v>
      </c>
      <c r="B12" s="36">
        <v>141</v>
      </c>
      <c r="D12" s="35">
        <v>30402</v>
      </c>
      <c r="E12" s="36">
        <v>30402</v>
      </c>
      <c r="G12" s="28"/>
      <c r="H12" s="29"/>
      <c r="I12" s="30"/>
      <c r="K12" s="1"/>
    </row>
    <row r="13" spans="1:11">
      <c r="D13" s="35">
        <v>30686</v>
      </c>
      <c r="E13" s="36">
        <v>30686</v>
      </c>
      <c r="G13" s="28"/>
      <c r="H13" s="29"/>
      <c r="I13" s="30"/>
      <c r="K13" s="1"/>
    </row>
    <row r="14" spans="1:11">
      <c r="D14" s="35">
        <v>31293</v>
      </c>
      <c r="E14" s="36">
        <v>31293</v>
      </c>
      <c r="G14" s="28"/>
      <c r="H14" s="29"/>
      <c r="I14" s="30"/>
      <c r="K14" s="1"/>
    </row>
    <row r="15" spans="1:11">
      <c r="D15" s="35">
        <v>31499</v>
      </c>
      <c r="E15" s="36">
        <v>31499</v>
      </c>
      <c r="G15" s="28"/>
      <c r="H15" s="29"/>
      <c r="I15" s="30"/>
      <c r="K15" s="1"/>
    </row>
    <row r="16" spans="1:11">
      <c r="D16" s="35">
        <v>33264</v>
      </c>
      <c r="E16" s="36">
        <v>33264</v>
      </c>
      <c r="G16" s="28"/>
      <c r="H16" s="29"/>
      <c r="I16" s="30"/>
      <c r="K16" s="1"/>
    </row>
    <row r="17" spans="1:11">
      <c r="A17" s="34" t="s">
        <v>296</v>
      </c>
      <c r="B17" t="s">
        <v>300</v>
      </c>
      <c r="D17" s="35">
        <v>33352</v>
      </c>
      <c r="E17" s="36">
        <v>33352</v>
      </c>
      <c r="G17" s="28"/>
      <c r="H17" s="29"/>
      <c r="I17" s="30"/>
      <c r="K17" s="1"/>
    </row>
    <row r="18" spans="1:11">
      <c r="A18" s="35" t="s">
        <v>9</v>
      </c>
      <c r="B18" s="36">
        <v>19</v>
      </c>
      <c r="D18" s="35">
        <v>33468</v>
      </c>
      <c r="E18" s="36">
        <v>33468</v>
      </c>
      <c r="G18" s="28"/>
      <c r="H18" s="29"/>
      <c r="I18" s="30"/>
      <c r="K18" s="1"/>
    </row>
    <row r="19" spans="1:11">
      <c r="A19" s="35" t="s">
        <v>15</v>
      </c>
      <c r="B19" s="36">
        <v>20</v>
      </c>
      <c r="D19" s="35">
        <v>33483</v>
      </c>
      <c r="E19" s="36">
        <v>33483</v>
      </c>
      <c r="G19" s="28"/>
      <c r="H19" s="29"/>
      <c r="I19" s="30"/>
      <c r="J19" s="1"/>
      <c r="K19" s="1"/>
    </row>
    <row r="20" spans="1:11">
      <c r="A20" s="35" t="s">
        <v>30</v>
      </c>
      <c r="B20" s="36">
        <v>18</v>
      </c>
      <c r="D20" s="35">
        <v>33956</v>
      </c>
      <c r="E20" s="36">
        <v>33956</v>
      </c>
      <c r="G20" s="28"/>
      <c r="H20" s="29"/>
      <c r="I20" s="30"/>
      <c r="J20" s="1"/>
      <c r="K20" s="1"/>
    </row>
    <row r="21" spans="1:11">
      <c r="A21" s="35" t="s">
        <v>37</v>
      </c>
      <c r="B21" s="36">
        <v>26</v>
      </c>
      <c r="D21" s="35">
        <v>34306</v>
      </c>
      <c r="E21" s="36">
        <v>34306</v>
      </c>
      <c r="G21" s="28"/>
      <c r="H21" s="29"/>
      <c r="I21" s="30"/>
      <c r="J21" s="1"/>
      <c r="K21" s="1"/>
    </row>
    <row r="22" spans="1:11">
      <c r="A22" s="35" t="s">
        <v>23</v>
      </c>
      <c r="B22" s="36">
        <v>22</v>
      </c>
      <c r="D22" s="35">
        <v>34402</v>
      </c>
      <c r="E22" s="36">
        <v>34402</v>
      </c>
      <c r="G22" s="28"/>
      <c r="H22" s="29"/>
      <c r="I22" s="30"/>
      <c r="J22" s="1"/>
      <c r="K22" s="1"/>
    </row>
    <row r="23" spans="1:11">
      <c r="A23" s="35" t="s">
        <v>299</v>
      </c>
      <c r="B23" s="36">
        <v>20</v>
      </c>
      <c r="D23" s="35">
        <v>35163</v>
      </c>
      <c r="E23" s="36">
        <v>35163</v>
      </c>
      <c r="G23" s="28"/>
      <c r="H23" s="29"/>
      <c r="I23" s="30"/>
    </row>
    <row r="24" spans="1:11">
      <c r="A24" s="35" t="s">
        <v>297</v>
      </c>
      <c r="B24" s="36">
        <v>125</v>
      </c>
      <c r="D24" s="35">
        <v>35326</v>
      </c>
      <c r="E24" s="36">
        <v>35326</v>
      </c>
      <c r="G24" s="28"/>
      <c r="H24" s="29"/>
      <c r="I24" s="30"/>
    </row>
    <row r="25" spans="1:11">
      <c r="D25" s="35">
        <v>35364</v>
      </c>
      <c r="E25" s="36">
        <v>35364</v>
      </c>
      <c r="G25" s="31"/>
      <c r="H25" s="32"/>
      <c r="I25" s="33"/>
    </row>
    <row r="26" spans="1:11">
      <c r="D26" s="35">
        <v>35627</v>
      </c>
      <c r="E26" s="36">
        <v>35627</v>
      </c>
    </row>
    <row r="27" spans="1:11">
      <c r="D27" s="35">
        <v>36515</v>
      </c>
      <c r="E27" s="36">
        <v>36515</v>
      </c>
    </row>
    <row r="28" spans="1:11">
      <c r="D28" s="35">
        <v>36541</v>
      </c>
      <c r="E28" s="36">
        <v>36541</v>
      </c>
    </row>
    <row r="29" spans="1:11">
      <c r="D29" s="35">
        <v>38333</v>
      </c>
      <c r="E29" s="36">
        <v>38333</v>
      </c>
    </row>
    <row r="30" spans="1:11">
      <c r="D30" s="35">
        <v>38678</v>
      </c>
      <c r="E30" s="36">
        <v>38678</v>
      </c>
    </row>
    <row r="31" spans="1:11">
      <c r="D31" s="35">
        <v>38830</v>
      </c>
      <c r="E31" s="36">
        <v>38830</v>
      </c>
    </row>
    <row r="32" spans="1:11">
      <c r="D32" s="35">
        <v>38837</v>
      </c>
      <c r="E32" s="36">
        <v>38837</v>
      </c>
    </row>
    <row r="33" spans="4:5">
      <c r="D33" s="35">
        <v>39280</v>
      </c>
      <c r="E33" s="36">
        <v>39280</v>
      </c>
    </row>
    <row r="34" spans="4:5">
      <c r="D34" s="35">
        <v>39423</v>
      </c>
      <c r="E34" s="36">
        <v>39423</v>
      </c>
    </row>
    <row r="35" spans="4:5">
      <c r="D35" s="35">
        <v>41243</v>
      </c>
      <c r="E35" s="36">
        <v>41243</v>
      </c>
    </row>
    <row r="36" spans="4:5">
      <c r="D36" s="35">
        <v>41341</v>
      </c>
      <c r="E36" s="36">
        <v>41341</v>
      </c>
    </row>
    <row r="37" spans="4:5">
      <c r="D37" s="35">
        <v>41448</v>
      </c>
      <c r="E37" s="36">
        <v>41448</v>
      </c>
    </row>
    <row r="38" spans="4:5">
      <c r="D38" s="35">
        <v>41467</v>
      </c>
      <c r="E38" s="36">
        <v>41467</v>
      </c>
    </row>
    <row r="39" spans="4:5">
      <c r="D39" s="35">
        <v>42096</v>
      </c>
      <c r="E39" s="36">
        <v>42096</v>
      </c>
    </row>
    <row r="40" spans="4:5">
      <c r="D40" s="35">
        <v>42262</v>
      </c>
      <c r="E40" s="36">
        <v>42262</v>
      </c>
    </row>
    <row r="41" spans="4:5">
      <c r="D41" s="35">
        <v>44358</v>
      </c>
      <c r="E41" s="36">
        <v>44358</v>
      </c>
    </row>
    <row r="42" spans="4:5">
      <c r="D42" s="35">
        <v>44627</v>
      </c>
      <c r="E42" s="36">
        <v>44627</v>
      </c>
    </row>
    <row r="43" spans="4:5">
      <c r="D43" s="35">
        <v>44682</v>
      </c>
      <c r="E43" s="36">
        <v>44682</v>
      </c>
    </row>
    <row r="44" spans="4:5">
      <c r="D44" s="35">
        <v>45676</v>
      </c>
      <c r="E44" s="36">
        <v>45676</v>
      </c>
    </row>
    <row r="45" spans="4:5">
      <c r="D45" s="35">
        <v>45758</v>
      </c>
      <c r="E45" s="36">
        <v>45758</v>
      </c>
    </row>
    <row r="46" spans="4:5">
      <c r="D46" s="35">
        <v>47653</v>
      </c>
      <c r="E46" s="36">
        <v>47653</v>
      </c>
    </row>
    <row r="47" spans="4:5">
      <c r="D47" s="35">
        <v>48224</v>
      </c>
      <c r="E47" s="36">
        <v>48224</v>
      </c>
    </row>
    <row r="48" spans="4:5">
      <c r="D48" s="35">
        <v>48289</v>
      </c>
      <c r="E48" s="36">
        <v>48289</v>
      </c>
    </row>
    <row r="49" spans="4:5">
      <c r="D49" s="35">
        <v>48325</v>
      </c>
      <c r="E49" s="36">
        <v>48325</v>
      </c>
    </row>
    <row r="50" spans="4:5">
      <c r="D50" s="35">
        <v>49282</v>
      </c>
      <c r="E50" s="36">
        <v>49282</v>
      </c>
    </row>
    <row r="51" spans="4:5">
      <c r="D51" s="35">
        <v>50741</v>
      </c>
      <c r="E51" s="36">
        <v>50741</v>
      </c>
    </row>
    <row r="52" spans="4:5">
      <c r="D52" s="35">
        <v>52036</v>
      </c>
      <c r="E52" s="36">
        <v>52036</v>
      </c>
    </row>
    <row r="53" spans="4:5">
      <c r="D53" s="35">
        <v>52093</v>
      </c>
      <c r="E53" s="36">
        <v>52093</v>
      </c>
    </row>
    <row r="54" spans="4:5">
      <c r="D54" s="35">
        <v>52272</v>
      </c>
      <c r="E54" s="36">
        <v>52272</v>
      </c>
    </row>
    <row r="55" spans="4:5">
      <c r="D55" s="35">
        <v>54255</v>
      </c>
      <c r="E55" s="36">
        <v>54255</v>
      </c>
    </row>
    <row r="56" spans="4:5">
      <c r="D56" s="35">
        <v>54463</v>
      </c>
      <c r="E56" s="36">
        <v>54463</v>
      </c>
    </row>
    <row r="57" spans="4:5">
      <c r="D57" s="35">
        <v>55303</v>
      </c>
      <c r="E57" s="36">
        <v>55303</v>
      </c>
    </row>
    <row r="58" spans="4:5">
      <c r="D58" s="35">
        <v>56512</v>
      </c>
      <c r="E58" s="36">
        <v>56512</v>
      </c>
    </row>
    <row r="59" spans="4:5">
      <c r="D59" s="35">
        <v>57141</v>
      </c>
      <c r="E59" s="36">
        <v>57141</v>
      </c>
    </row>
    <row r="60" spans="4:5">
      <c r="D60" s="35">
        <v>58245</v>
      </c>
      <c r="E60" s="36">
        <v>58245</v>
      </c>
    </row>
    <row r="61" spans="4:5">
      <c r="D61" s="35">
        <v>58962</v>
      </c>
      <c r="E61" s="36">
        <v>58962</v>
      </c>
    </row>
    <row r="62" spans="4:5">
      <c r="D62" s="35">
        <v>59894</v>
      </c>
      <c r="E62" s="36">
        <v>59894</v>
      </c>
    </row>
    <row r="63" spans="4:5">
      <c r="D63" s="35">
        <v>60011</v>
      </c>
      <c r="E63" s="36">
        <v>60011</v>
      </c>
    </row>
    <row r="64" spans="4:5">
      <c r="D64" s="35">
        <v>60034</v>
      </c>
      <c r="E64" s="36">
        <v>60034</v>
      </c>
    </row>
    <row r="65" spans="4:5">
      <c r="D65" s="35">
        <v>60335</v>
      </c>
      <c r="E65" s="36">
        <v>60335</v>
      </c>
    </row>
    <row r="66" spans="4:5">
      <c r="D66" s="35">
        <v>61556</v>
      </c>
      <c r="E66" s="36">
        <v>61556</v>
      </c>
    </row>
    <row r="67" spans="4:5">
      <c r="D67" s="35">
        <v>61942</v>
      </c>
      <c r="E67" s="36">
        <v>61942</v>
      </c>
    </row>
    <row r="68" spans="4:5">
      <c r="D68" s="35">
        <v>62158</v>
      </c>
      <c r="E68" s="36">
        <v>62158</v>
      </c>
    </row>
    <row r="69" spans="4:5">
      <c r="D69" s="35">
        <v>62476</v>
      </c>
      <c r="E69" s="36">
        <v>62476</v>
      </c>
    </row>
    <row r="70" spans="4:5">
      <c r="D70" s="35">
        <v>62994</v>
      </c>
      <c r="E70" s="36">
        <v>62994</v>
      </c>
    </row>
    <row r="71" spans="4:5">
      <c r="D71" s="35">
        <v>63184</v>
      </c>
      <c r="E71" s="36">
        <v>63184</v>
      </c>
    </row>
    <row r="72" spans="4:5">
      <c r="D72" s="35">
        <v>63434</v>
      </c>
      <c r="E72" s="36">
        <v>63434</v>
      </c>
    </row>
    <row r="73" spans="4:5">
      <c r="D73" s="35">
        <v>64120</v>
      </c>
      <c r="E73" s="36">
        <v>64120</v>
      </c>
    </row>
    <row r="74" spans="4:5">
      <c r="D74" s="35">
        <v>64247</v>
      </c>
      <c r="E74" s="36">
        <v>64247</v>
      </c>
    </row>
    <row r="75" spans="4:5">
      <c r="D75" s="35">
        <v>64796</v>
      </c>
      <c r="E75" s="36">
        <v>64796</v>
      </c>
    </row>
    <row r="76" spans="4:5">
      <c r="D76" s="35">
        <v>64913</v>
      </c>
      <c r="E76" s="36">
        <v>64913</v>
      </c>
    </row>
    <row r="77" spans="4:5">
      <c r="D77" s="35">
        <v>65270</v>
      </c>
      <c r="E77" s="36">
        <v>65270</v>
      </c>
    </row>
    <row r="78" spans="4:5">
      <c r="D78" s="35">
        <v>66079</v>
      </c>
      <c r="E78" s="36">
        <v>66079</v>
      </c>
    </row>
    <row r="79" spans="4:5">
      <c r="D79" s="35">
        <v>66503</v>
      </c>
      <c r="E79" s="36">
        <v>66503</v>
      </c>
    </row>
    <row r="80" spans="4:5">
      <c r="D80" s="35">
        <v>66513</v>
      </c>
      <c r="E80" s="36">
        <v>66513</v>
      </c>
    </row>
    <row r="81" spans="4:5">
      <c r="D81" s="35">
        <v>66761</v>
      </c>
      <c r="E81" s="36">
        <v>66761</v>
      </c>
    </row>
    <row r="82" spans="4:5">
      <c r="D82" s="35">
        <v>66882</v>
      </c>
      <c r="E82" s="36">
        <v>66882</v>
      </c>
    </row>
    <row r="83" spans="4:5">
      <c r="D83" s="35">
        <v>67335</v>
      </c>
      <c r="E83" s="36">
        <v>67335</v>
      </c>
    </row>
    <row r="84" spans="4:5">
      <c r="D84" s="35">
        <v>67531</v>
      </c>
      <c r="E84" s="36">
        <v>67531</v>
      </c>
    </row>
    <row r="85" spans="4:5">
      <c r="D85" s="35">
        <v>67721</v>
      </c>
      <c r="E85" s="36">
        <v>67721</v>
      </c>
    </row>
    <row r="86" spans="4:5">
      <c r="D86" s="35">
        <v>69166</v>
      </c>
      <c r="E86" s="36">
        <v>69166</v>
      </c>
    </row>
    <row r="87" spans="4:5">
      <c r="D87" s="35">
        <v>69420</v>
      </c>
      <c r="E87" s="36">
        <v>69420</v>
      </c>
    </row>
    <row r="88" spans="4:5">
      <c r="D88" s="35">
        <v>69952</v>
      </c>
      <c r="E88" s="36">
        <v>69952</v>
      </c>
    </row>
    <row r="89" spans="4:5">
      <c r="D89" s="35">
        <v>70096</v>
      </c>
      <c r="E89" s="36">
        <v>70096</v>
      </c>
    </row>
    <row r="90" spans="4:5">
      <c r="D90" s="35">
        <v>70470</v>
      </c>
      <c r="E90" s="36">
        <v>70470</v>
      </c>
    </row>
    <row r="91" spans="4:5">
      <c r="D91" s="35">
        <v>71494</v>
      </c>
      <c r="E91" s="36">
        <v>71494</v>
      </c>
    </row>
    <row r="92" spans="4:5">
      <c r="D92" s="35">
        <v>72939</v>
      </c>
      <c r="E92" s="36">
        <v>72939</v>
      </c>
    </row>
    <row r="93" spans="4:5">
      <c r="D93" s="35">
        <v>73348</v>
      </c>
      <c r="E93" s="36">
        <v>73348</v>
      </c>
    </row>
    <row r="94" spans="4:5">
      <c r="D94" s="35">
        <v>73483</v>
      </c>
      <c r="E94" s="36">
        <v>73483</v>
      </c>
    </row>
    <row r="95" spans="4:5">
      <c r="D95" s="35">
        <v>73602</v>
      </c>
      <c r="E95" s="36">
        <v>73602</v>
      </c>
    </row>
    <row r="96" spans="4:5">
      <c r="D96" s="35">
        <v>74815</v>
      </c>
      <c r="E96" s="36">
        <v>74815</v>
      </c>
    </row>
    <row r="97" spans="4:5">
      <c r="D97" s="35">
        <v>75633</v>
      </c>
      <c r="E97" s="36">
        <v>75633</v>
      </c>
    </row>
    <row r="98" spans="4:5">
      <c r="D98" s="35">
        <v>76238</v>
      </c>
      <c r="E98" s="36">
        <v>76238</v>
      </c>
    </row>
    <row r="99" spans="4:5">
      <c r="D99" s="35">
        <v>76518</v>
      </c>
      <c r="E99" s="36">
        <v>76518</v>
      </c>
    </row>
    <row r="100" spans="4:5">
      <c r="D100" s="35">
        <v>77096</v>
      </c>
      <c r="E100" s="36">
        <v>77096</v>
      </c>
    </row>
    <row r="101" spans="4:5">
      <c r="D101" s="35">
        <v>78245</v>
      </c>
      <c r="E101" s="36">
        <v>78245</v>
      </c>
    </row>
    <row r="102" spans="4:5">
      <c r="D102" s="35">
        <v>78330</v>
      </c>
      <c r="E102" s="36">
        <v>78330</v>
      </c>
    </row>
    <row r="103" spans="4:5">
      <c r="D103" s="35">
        <v>78421</v>
      </c>
      <c r="E103" s="36">
        <v>78421</v>
      </c>
    </row>
    <row r="104" spans="4:5">
      <c r="D104" s="35">
        <v>78720</v>
      </c>
      <c r="E104" s="36">
        <v>78720</v>
      </c>
    </row>
    <row r="105" spans="4:5">
      <c r="D105" s="35">
        <v>79145</v>
      </c>
      <c r="E105" s="36">
        <v>79145</v>
      </c>
    </row>
    <row r="106" spans="4:5">
      <c r="D106" s="35">
        <v>79549</v>
      </c>
      <c r="E106" s="36">
        <v>79549</v>
      </c>
    </row>
    <row r="107" spans="4:5">
      <c r="D107" s="35">
        <v>80588</v>
      </c>
      <c r="E107" s="36">
        <v>80588</v>
      </c>
    </row>
    <row r="108" spans="4:5">
      <c r="D108" s="35">
        <v>81610</v>
      </c>
      <c r="E108" s="36">
        <v>81610</v>
      </c>
    </row>
    <row r="109" spans="4:5">
      <c r="D109" s="35">
        <v>82033</v>
      </c>
      <c r="E109" s="36">
        <v>82033</v>
      </c>
    </row>
    <row r="110" spans="4:5">
      <c r="D110" s="35">
        <v>84737</v>
      </c>
      <c r="E110" s="36">
        <v>84737</v>
      </c>
    </row>
    <row r="111" spans="4:5">
      <c r="D111" s="35">
        <v>84750</v>
      </c>
      <c r="E111" s="36">
        <v>84750</v>
      </c>
    </row>
    <row r="112" spans="4:5">
      <c r="D112" s="35">
        <v>84924</v>
      </c>
      <c r="E112" s="36">
        <v>84924</v>
      </c>
    </row>
    <row r="113" spans="4:5">
      <c r="D113" s="35">
        <v>84968</v>
      </c>
      <c r="E113" s="36">
        <v>84968</v>
      </c>
    </row>
    <row r="114" spans="4:5">
      <c r="D114" s="35">
        <v>85065</v>
      </c>
      <c r="E114" s="36">
        <v>85065</v>
      </c>
    </row>
    <row r="115" spans="4:5">
      <c r="D115" s="35">
        <v>86412</v>
      </c>
      <c r="E115" s="36">
        <v>86412</v>
      </c>
    </row>
    <row r="116" spans="4:5">
      <c r="D116" s="35">
        <v>86775</v>
      </c>
      <c r="E116" s="36">
        <v>86775</v>
      </c>
    </row>
    <row r="117" spans="4:5">
      <c r="D117" s="35">
        <v>87963</v>
      </c>
      <c r="E117" s="36">
        <v>87963</v>
      </c>
    </row>
    <row r="118" spans="4:5">
      <c r="D118" s="35">
        <v>88850</v>
      </c>
      <c r="E118" s="36">
        <v>88850</v>
      </c>
    </row>
    <row r="119" spans="4:5">
      <c r="D119" s="35">
        <v>89333</v>
      </c>
      <c r="E119" s="36">
        <v>89333</v>
      </c>
    </row>
    <row r="120" spans="4:5">
      <c r="D120" s="35">
        <v>89781</v>
      </c>
      <c r="E120" s="36">
        <v>89781</v>
      </c>
    </row>
    <row r="121" spans="4:5">
      <c r="D121" s="35">
        <v>90019</v>
      </c>
      <c r="E121" s="36">
        <v>90019</v>
      </c>
    </row>
    <row r="122" spans="4:5">
      <c r="D122" s="35">
        <v>90271</v>
      </c>
      <c r="E122" s="36">
        <v>90271</v>
      </c>
    </row>
    <row r="123" spans="4:5">
      <c r="D123" s="35">
        <v>91005</v>
      </c>
      <c r="E123" s="36">
        <v>91005</v>
      </c>
    </row>
    <row r="124" spans="4:5">
      <c r="D124" s="35">
        <v>91101</v>
      </c>
      <c r="E124" s="36">
        <v>91101</v>
      </c>
    </row>
    <row r="125" spans="4:5">
      <c r="D125" s="35">
        <v>91180</v>
      </c>
      <c r="E125" s="36">
        <v>91180</v>
      </c>
    </row>
    <row r="126" spans="4:5">
      <c r="D126" s="35">
        <v>91620</v>
      </c>
      <c r="E126" s="36">
        <v>91620</v>
      </c>
    </row>
    <row r="127" spans="4:5">
      <c r="D127" s="35">
        <v>91846</v>
      </c>
      <c r="E127" s="36">
        <v>91846</v>
      </c>
    </row>
    <row r="128" spans="4:5">
      <c r="D128" s="35">
        <v>91953</v>
      </c>
      <c r="E128" s="36">
        <v>91953</v>
      </c>
    </row>
    <row r="129" spans="4:5">
      <c r="D129" s="35">
        <v>92259</v>
      </c>
      <c r="E129" s="36">
        <v>92259</v>
      </c>
    </row>
    <row r="130" spans="4:5">
      <c r="D130" s="35">
        <v>92299</v>
      </c>
      <c r="E130" s="36">
        <v>92299</v>
      </c>
    </row>
    <row r="131" spans="4:5">
      <c r="D131" s="35">
        <v>92343</v>
      </c>
      <c r="E131" s="36">
        <v>92343</v>
      </c>
    </row>
    <row r="132" spans="4:5">
      <c r="D132" s="35">
        <v>92443</v>
      </c>
      <c r="E132" s="36">
        <v>92443</v>
      </c>
    </row>
    <row r="133" spans="4:5">
      <c r="D133" s="35">
        <v>92701</v>
      </c>
      <c r="E133" s="36">
        <v>92701</v>
      </c>
    </row>
    <row r="134" spans="4:5">
      <c r="D134" s="35">
        <v>92959</v>
      </c>
      <c r="E134" s="36">
        <v>92959</v>
      </c>
    </row>
    <row r="135" spans="4:5">
      <c r="D135" s="35">
        <v>94148</v>
      </c>
      <c r="E135" s="36">
        <v>94148</v>
      </c>
    </row>
    <row r="136" spans="4:5">
      <c r="D136" s="35">
        <v>94301</v>
      </c>
      <c r="E136" s="36">
        <v>94301</v>
      </c>
    </row>
    <row r="137" spans="4:5">
      <c r="D137" s="35">
        <v>94406</v>
      </c>
      <c r="E137" s="36">
        <v>94406</v>
      </c>
    </row>
    <row r="138" spans="4:5">
      <c r="D138" s="35">
        <v>95032</v>
      </c>
      <c r="E138" s="36">
        <v>95032</v>
      </c>
    </row>
    <row r="139" spans="4:5">
      <c r="D139" s="35">
        <v>95367</v>
      </c>
      <c r="E139" s="36">
        <v>95367</v>
      </c>
    </row>
    <row r="140" spans="4:5">
      <c r="D140" s="35">
        <v>95586</v>
      </c>
      <c r="E140" s="36">
        <v>95586</v>
      </c>
    </row>
    <row r="141" spans="4:5">
      <c r="D141" s="35">
        <v>95621</v>
      </c>
      <c r="E141" s="36">
        <v>95621</v>
      </c>
    </row>
    <row r="142" spans="4:5">
      <c r="D142" s="35">
        <v>96101</v>
      </c>
      <c r="E142" s="36">
        <v>96101</v>
      </c>
    </row>
    <row r="143" spans="4:5">
      <c r="D143" s="35">
        <v>96142</v>
      </c>
      <c r="E143" s="36">
        <v>96142</v>
      </c>
    </row>
    <row r="144" spans="4:5">
      <c r="D144" s="35">
        <v>96365</v>
      </c>
      <c r="E144" s="36">
        <v>96365</v>
      </c>
    </row>
    <row r="145" spans="4:5">
      <c r="D145" s="35">
        <v>96418</v>
      </c>
      <c r="E145" s="36">
        <v>96418</v>
      </c>
    </row>
    <row r="146" spans="4:5">
      <c r="D146" s="35">
        <v>96949</v>
      </c>
      <c r="E146" s="36">
        <v>96949</v>
      </c>
    </row>
    <row r="147" spans="4:5">
      <c r="D147" s="35">
        <v>97881</v>
      </c>
      <c r="E147" s="36">
        <v>97881</v>
      </c>
    </row>
    <row r="148" spans="4:5">
      <c r="D148" s="35">
        <v>97981</v>
      </c>
      <c r="E148" s="36">
        <v>97981</v>
      </c>
    </row>
    <row r="149" spans="4:5">
      <c r="D149" s="35">
        <v>98475</v>
      </c>
      <c r="E149" s="36">
        <v>98475</v>
      </c>
    </row>
    <row r="150" spans="4:5">
      <c r="D150" s="35">
        <v>98922</v>
      </c>
      <c r="E150" s="36">
        <v>98922</v>
      </c>
    </row>
    <row r="151" spans="4:5">
      <c r="D151" s="35">
        <v>99621</v>
      </c>
      <c r="E151" s="36">
        <v>99621</v>
      </c>
    </row>
    <row r="152" spans="4:5">
      <c r="D152" s="35" t="s">
        <v>10</v>
      </c>
      <c r="E152" s="36" t="e">
        <v>#DIV/0!</v>
      </c>
    </row>
    <row r="153" spans="4:5">
      <c r="D153" s="35" t="s">
        <v>297</v>
      </c>
      <c r="E153" s="36">
        <v>66280.929577464791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abSelected="1" topLeftCell="D1" workbookViewId="0">
      <selection activeCell="I13" sqref="I13"/>
    </sheetView>
  </sheetViews>
  <sheetFormatPr defaultColWidth="9.125" defaultRowHeight="20.100000000000001" customHeight="1"/>
  <cols>
    <col min="1" max="1" width="14.25" style="1" customWidth="1"/>
    <col min="2" max="3" width="10.375" style="1" customWidth="1"/>
    <col min="4" max="4" width="13.875" style="1" customWidth="1"/>
    <col min="5" max="5" width="9.125" style="1"/>
    <col min="6" max="6" width="16.25" style="1" customWidth="1"/>
    <col min="7" max="7" width="20.625" style="1" customWidth="1"/>
    <col min="8" max="8" width="9.875" style="1" customWidth="1"/>
    <col min="9" max="9" width="26.125" style="1" customWidth="1"/>
    <col min="10" max="16384" width="9.125" style="1"/>
  </cols>
  <sheetData>
    <row r="1" spans="1:15" ht="20.100000000000001" customHeight="1">
      <c r="A1" s="10" t="s">
        <v>0</v>
      </c>
      <c r="B1" s="11" t="s">
        <v>1</v>
      </c>
      <c r="C1" s="11" t="s">
        <v>290</v>
      </c>
      <c r="D1" s="12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3" t="s">
        <v>7</v>
      </c>
      <c r="J1" s="22" t="s">
        <v>289</v>
      </c>
      <c r="K1" s="22" t="s">
        <v>291</v>
      </c>
      <c r="L1" s="22" t="s">
        <v>292</v>
      </c>
      <c r="M1" s="22" t="s">
        <v>293</v>
      </c>
      <c r="N1" s="22" t="s">
        <v>294</v>
      </c>
      <c r="O1" s="22" t="s">
        <v>295</v>
      </c>
    </row>
    <row r="2" spans="1:15" ht="20.100000000000001" customHeight="1">
      <c r="A2" s="5" t="s">
        <v>8</v>
      </c>
      <c r="B2" s="2"/>
      <c r="C2" s="2" t="str">
        <f>TRIM(B2)</f>
        <v/>
      </c>
      <c r="D2" s="2" t="s">
        <v>9</v>
      </c>
      <c r="E2" s="2" t="s">
        <v>10</v>
      </c>
      <c r="F2" s="2" t="s">
        <v>11</v>
      </c>
      <c r="G2" s="2">
        <v>2</v>
      </c>
      <c r="H2" s="2" t="s">
        <v>11</v>
      </c>
      <c r="I2" s="6" t="s">
        <v>12</v>
      </c>
      <c r="J2" s="20" t="str">
        <f t="shared" ref="J2:J33" si="0">LEFT(A2,3)</f>
        <v>EMP</v>
      </c>
      <c r="K2" s="23" t="str">
        <f t="shared" ref="K2:K33" si="1">MID(A2,4,4)</f>
        <v>1000</v>
      </c>
      <c r="L2" s="23" t="str">
        <f t="shared" ref="L2:L33" si="2">RIGHT(A2,4)</f>
        <v>1000</v>
      </c>
      <c r="M2" s="23" t="str">
        <f t="shared" ref="M2:M33" si="3">UPPER(C2)</f>
        <v/>
      </c>
      <c r="N2" s="24" t="str">
        <f t="shared" ref="N2:N33" si="4">LOWER(C2)</f>
        <v/>
      </c>
      <c r="O2" s="24" t="str">
        <f t="shared" ref="O2:O33" si="5">PROPER(C2)</f>
        <v/>
      </c>
    </row>
    <row r="3" spans="1:15" ht="20.100000000000001" customHeight="1">
      <c r="A3" s="5" t="s">
        <v>13</v>
      </c>
      <c r="B3" s="2" t="s">
        <v>14</v>
      </c>
      <c r="C3" s="2" t="str">
        <f>TRIM(B3)</f>
        <v>Eve Adams</v>
      </c>
      <c r="D3" s="2" t="s">
        <v>15</v>
      </c>
      <c r="E3" s="2">
        <v>54255</v>
      </c>
      <c r="F3" s="3">
        <v>42015</v>
      </c>
      <c r="G3" s="2">
        <v>1</v>
      </c>
      <c r="H3" s="2" t="s">
        <v>16</v>
      </c>
      <c r="I3" s="6" t="s">
        <v>17</v>
      </c>
      <c r="J3" s="19" t="str">
        <f t="shared" si="0"/>
        <v>EMP</v>
      </c>
      <c r="K3" s="23" t="str">
        <f t="shared" si="1"/>
        <v>1001</v>
      </c>
      <c r="L3" s="23" t="str">
        <f t="shared" si="2"/>
        <v>1001</v>
      </c>
      <c r="M3" s="23" t="str">
        <f t="shared" si="3"/>
        <v>EVE ADAMS</v>
      </c>
      <c r="N3" s="24" t="str">
        <f t="shared" si="4"/>
        <v>eve adams</v>
      </c>
      <c r="O3" s="24" t="str">
        <f t="shared" si="5"/>
        <v>Eve Adams</v>
      </c>
    </row>
    <row r="4" spans="1:15" ht="20.100000000000001" customHeight="1">
      <c r="A4" s="5" t="s">
        <v>18</v>
      </c>
      <c r="B4" s="2" t="s">
        <v>19</v>
      </c>
      <c r="C4" s="2" t="str">
        <f>TRIM(B4)</f>
        <v>Alice Brown</v>
      </c>
      <c r="D4" s="2" t="s">
        <v>9</v>
      </c>
      <c r="E4" s="2">
        <v>63184</v>
      </c>
      <c r="F4" s="3">
        <v>42022</v>
      </c>
      <c r="G4" s="2">
        <v>2</v>
      </c>
      <c r="H4" s="2"/>
      <c r="I4" s="6" t="s">
        <v>20</v>
      </c>
      <c r="J4" s="19" t="str">
        <f t="shared" si="0"/>
        <v>EMP</v>
      </c>
      <c r="K4" s="23" t="str">
        <f t="shared" si="1"/>
        <v>1002</v>
      </c>
      <c r="L4" s="23" t="str">
        <f t="shared" si="2"/>
        <v>1002</v>
      </c>
      <c r="M4" s="23" t="str">
        <f t="shared" si="3"/>
        <v>ALICE BROWN</v>
      </c>
      <c r="N4" s="24" t="str">
        <f t="shared" si="4"/>
        <v>alice brown</v>
      </c>
      <c r="O4" s="24" t="str">
        <f t="shared" si="5"/>
        <v>Alice Brown</v>
      </c>
    </row>
    <row r="5" spans="1:15" ht="20.100000000000001" customHeight="1">
      <c r="A5" s="5" t="s">
        <v>21</v>
      </c>
      <c r="B5" s="2" t="s">
        <v>22</v>
      </c>
      <c r="C5" s="2" t="str">
        <f>TRIM(B5)</f>
        <v>John Doe</v>
      </c>
      <c r="D5" s="2" t="s">
        <v>23</v>
      </c>
      <c r="E5" s="2">
        <v>94406</v>
      </c>
      <c r="F5" s="3">
        <v>42029</v>
      </c>
      <c r="G5" s="2">
        <v>1</v>
      </c>
      <c r="H5" s="2" t="s">
        <v>24</v>
      </c>
      <c r="I5" s="6" t="s">
        <v>25</v>
      </c>
      <c r="J5" s="19" t="str">
        <f t="shared" si="0"/>
        <v>EMP</v>
      </c>
      <c r="K5" s="23" t="str">
        <f t="shared" si="1"/>
        <v>1003</v>
      </c>
      <c r="L5" s="23" t="str">
        <f t="shared" si="2"/>
        <v>1003</v>
      </c>
      <c r="M5" s="23" t="str">
        <f t="shared" si="3"/>
        <v>JOHN DOE</v>
      </c>
      <c r="N5" s="24" t="str">
        <f t="shared" si="4"/>
        <v>john doe</v>
      </c>
      <c r="O5" s="24" t="str">
        <f t="shared" si="5"/>
        <v>John Doe</v>
      </c>
    </row>
    <row r="6" spans="1:15" ht="20.100000000000001" customHeight="1">
      <c r="A6" s="5" t="s">
        <v>26</v>
      </c>
      <c r="B6" s="2" t="s">
        <v>27</v>
      </c>
      <c r="C6" s="2" t="str">
        <f>TRIM(B6)</f>
        <v>Jane Smith</v>
      </c>
      <c r="D6" s="2" t="s">
        <v>23</v>
      </c>
      <c r="E6" s="2">
        <v>64120</v>
      </c>
      <c r="F6" s="3">
        <v>42036</v>
      </c>
      <c r="G6" s="2">
        <v>1</v>
      </c>
      <c r="H6" s="2" t="s">
        <v>24</v>
      </c>
      <c r="I6" s="6" t="s">
        <v>28</v>
      </c>
      <c r="J6" s="19" t="str">
        <f t="shared" si="0"/>
        <v>EMP</v>
      </c>
      <c r="K6" s="23" t="str">
        <f t="shared" si="1"/>
        <v>1004</v>
      </c>
      <c r="L6" s="23" t="str">
        <f t="shared" si="2"/>
        <v>1004</v>
      </c>
      <c r="M6" s="23" t="str">
        <f t="shared" si="3"/>
        <v>JANE SMITH</v>
      </c>
      <c r="N6" s="24" t="str">
        <f t="shared" si="4"/>
        <v>jane smith</v>
      </c>
      <c r="O6" s="24" t="str">
        <f t="shared" si="5"/>
        <v>Jane Smith</v>
      </c>
    </row>
    <row r="7" spans="1:15" ht="20.100000000000001" customHeight="1">
      <c r="A7" s="5" t="s">
        <v>29</v>
      </c>
      <c r="B7" s="2" t="s">
        <v>19</v>
      </c>
      <c r="C7" s="2" t="str">
        <f>TRIM(B7)</f>
        <v>Alice Brown</v>
      </c>
      <c r="D7" s="2" t="s">
        <v>30</v>
      </c>
      <c r="E7" s="2">
        <v>78421</v>
      </c>
      <c r="F7" s="3">
        <v>42043</v>
      </c>
      <c r="G7" s="2">
        <v>2</v>
      </c>
      <c r="H7" s="2" t="s">
        <v>31</v>
      </c>
      <c r="I7" s="6" t="s">
        <v>32</v>
      </c>
      <c r="J7" s="19" t="str">
        <f t="shared" si="0"/>
        <v>EMP</v>
      </c>
      <c r="K7" s="23" t="str">
        <f t="shared" si="1"/>
        <v>1005</v>
      </c>
      <c r="L7" s="23" t="str">
        <f t="shared" si="2"/>
        <v>1005</v>
      </c>
      <c r="M7" s="23" t="str">
        <f t="shared" si="3"/>
        <v>ALICE BROWN</v>
      </c>
      <c r="N7" s="24" t="str">
        <f t="shared" si="4"/>
        <v>alice brown</v>
      </c>
      <c r="O7" s="24" t="str">
        <f t="shared" si="5"/>
        <v>Alice Brown</v>
      </c>
    </row>
    <row r="8" spans="1:15" ht="20.100000000000001" customHeight="1">
      <c r="A8" s="5" t="s">
        <v>33</v>
      </c>
      <c r="B8" s="2" t="s">
        <v>34</v>
      </c>
      <c r="C8" s="2" t="str">
        <f>TRIM(B8)</f>
        <v>Sam Wilson</v>
      </c>
      <c r="D8" s="2" t="s">
        <v>23</v>
      </c>
      <c r="E8" s="2">
        <v>67721</v>
      </c>
      <c r="F8" s="3">
        <v>42050</v>
      </c>
      <c r="G8" s="2"/>
      <c r="H8" s="2" t="s">
        <v>24</v>
      </c>
      <c r="I8" s="6" t="s">
        <v>25</v>
      </c>
      <c r="J8" s="19" t="str">
        <f t="shared" si="0"/>
        <v>EMP</v>
      </c>
      <c r="K8" s="23" t="str">
        <f t="shared" si="1"/>
        <v>1006</v>
      </c>
      <c r="L8" s="23" t="str">
        <f t="shared" si="2"/>
        <v>1006</v>
      </c>
      <c r="M8" s="23" t="str">
        <f t="shared" si="3"/>
        <v>SAM WILSON</v>
      </c>
      <c r="N8" s="24" t="str">
        <f t="shared" si="4"/>
        <v>sam wilson</v>
      </c>
      <c r="O8" s="24" t="str">
        <f t="shared" si="5"/>
        <v>Sam Wilson</v>
      </c>
    </row>
    <row r="9" spans="1:15" ht="20.100000000000001" customHeight="1">
      <c r="A9" s="5" t="s">
        <v>35</v>
      </c>
      <c r="B9" s="2" t="s">
        <v>36</v>
      </c>
      <c r="C9" s="2" t="str">
        <f>TRIM(B9)</f>
        <v>Chris Lee</v>
      </c>
      <c r="D9" s="4" t="s">
        <v>37</v>
      </c>
      <c r="E9" s="2">
        <v>35364</v>
      </c>
      <c r="F9" s="3">
        <v>42057</v>
      </c>
      <c r="G9" s="2">
        <v>2</v>
      </c>
      <c r="H9" s="2" t="s">
        <v>16</v>
      </c>
      <c r="I9" s="6" t="s">
        <v>38</v>
      </c>
      <c r="J9" s="19" t="str">
        <f t="shared" si="0"/>
        <v>EMP</v>
      </c>
      <c r="K9" s="23" t="str">
        <f t="shared" si="1"/>
        <v>1007</v>
      </c>
      <c r="L9" s="23" t="str">
        <f t="shared" si="2"/>
        <v>1007</v>
      </c>
      <c r="M9" s="23" t="str">
        <f t="shared" si="3"/>
        <v>CHRIS LEE</v>
      </c>
      <c r="N9" s="24" t="str">
        <f t="shared" si="4"/>
        <v>chris lee</v>
      </c>
      <c r="O9" s="24" t="str">
        <f t="shared" si="5"/>
        <v>Chris Lee</v>
      </c>
    </row>
    <row r="10" spans="1:15" ht="20.100000000000001" customHeight="1">
      <c r="A10" s="5" t="s">
        <v>39</v>
      </c>
      <c r="B10" s="2" t="s">
        <v>19</v>
      </c>
      <c r="C10" s="2" t="str">
        <f>TRIM(B10)</f>
        <v>Alice Brown</v>
      </c>
      <c r="D10" s="2" t="s">
        <v>30</v>
      </c>
      <c r="E10" s="2">
        <v>97881</v>
      </c>
      <c r="F10" s="3">
        <v>42064</v>
      </c>
      <c r="G10" s="2"/>
      <c r="H10" s="2" t="s">
        <v>31</v>
      </c>
      <c r="I10" s="6" t="s">
        <v>40</v>
      </c>
      <c r="J10" s="19" t="str">
        <f t="shared" si="0"/>
        <v>EMP</v>
      </c>
      <c r="K10" s="23" t="str">
        <f t="shared" si="1"/>
        <v>1008</v>
      </c>
      <c r="L10" s="23" t="str">
        <f t="shared" si="2"/>
        <v>1008</v>
      </c>
      <c r="M10" s="23" t="str">
        <f t="shared" si="3"/>
        <v>ALICE BROWN</v>
      </c>
      <c r="N10" s="24" t="str">
        <f t="shared" si="4"/>
        <v>alice brown</v>
      </c>
      <c r="O10" s="24" t="str">
        <f t="shared" si="5"/>
        <v>Alice Brown</v>
      </c>
    </row>
    <row r="11" spans="1:15" ht="20.100000000000001" customHeight="1">
      <c r="A11" s="5" t="s">
        <v>41</v>
      </c>
      <c r="B11" s="2" t="s">
        <v>36</v>
      </c>
      <c r="C11" s="2" t="str">
        <f>TRIM(B11)</f>
        <v>Chris Lee</v>
      </c>
      <c r="D11" s="2" t="s">
        <v>15</v>
      </c>
      <c r="E11" s="2">
        <v>91846</v>
      </c>
      <c r="F11" s="3">
        <v>42071</v>
      </c>
      <c r="G11" s="2"/>
      <c r="H11" s="2" t="s">
        <v>24</v>
      </c>
      <c r="I11" s="6" t="s">
        <v>42</v>
      </c>
      <c r="J11" s="19" t="str">
        <f t="shared" si="0"/>
        <v>EMP</v>
      </c>
      <c r="K11" s="23" t="str">
        <f t="shared" si="1"/>
        <v>1009</v>
      </c>
      <c r="L11" s="23" t="str">
        <f t="shared" si="2"/>
        <v>1009</v>
      </c>
      <c r="M11" s="23" t="str">
        <f t="shared" si="3"/>
        <v>CHRIS LEE</v>
      </c>
      <c r="N11" s="24" t="str">
        <f t="shared" si="4"/>
        <v>chris lee</v>
      </c>
      <c r="O11" s="24" t="str">
        <f t="shared" si="5"/>
        <v>Chris Lee</v>
      </c>
    </row>
    <row r="12" spans="1:15" ht="20.100000000000001" customHeight="1">
      <c r="A12" s="5" t="s">
        <v>43</v>
      </c>
      <c r="B12" s="2" t="s">
        <v>34</v>
      </c>
      <c r="C12" s="2" t="str">
        <f>TRIM(B12)</f>
        <v>Sam Wilson</v>
      </c>
      <c r="D12" s="2" t="s">
        <v>9</v>
      </c>
      <c r="E12" s="2">
        <v>64247</v>
      </c>
      <c r="F12" s="3">
        <v>42078</v>
      </c>
      <c r="G12" s="2">
        <v>1</v>
      </c>
      <c r="H12" s="2" t="s">
        <v>31</v>
      </c>
      <c r="I12" s="6" t="s">
        <v>44</v>
      </c>
      <c r="J12" s="19" t="str">
        <f t="shared" si="0"/>
        <v>EMP</v>
      </c>
      <c r="K12" s="23" t="str">
        <f t="shared" si="1"/>
        <v>1010</v>
      </c>
      <c r="L12" s="23" t="str">
        <f t="shared" si="2"/>
        <v>1010</v>
      </c>
      <c r="M12" s="23" t="str">
        <f t="shared" si="3"/>
        <v>SAM WILSON</v>
      </c>
      <c r="N12" s="24" t="str">
        <f t="shared" si="4"/>
        <v>sam wilson</v>
      </c>
      <c r="O12" s="24" t="str">
        <f t="shared" si="5"/>
        <v>Sam Wilson</v>
      </c>
    </row>
    <row r="13" spans="1:15" ht="20.100000000000001" customHeight="1">
      <c r="A13" s="5" t="s">
        <v>45</v>
      </c>
      <c r="B13" s="2" t="s">
        <v>34</v>
      </c>
      <c r="C13" s="2" t="str">
        <f>TRIM(B13)</f>
        <v>Sam Wilson</v>
      </c>
      <c r="D13" s="2" t="s">
        <v>30</v>
      </c>
      <c r="E13" s="2">
        <v>91180</v>
      </c>
      <c r="F13" s="3">
        <v>42085</v>
      </c>
      <c r="G13" s="2">
        <v>5</v>
      </c>
      <c r="H13" s="2" t="s">
        <v>24</v>
      </c>
      <c r="I13" s="6" t="s">
        <v>46</v>
      </c>
      <c r="J13" s="19" t="str">
        <f t="shared" si="0"/>
        <v>EMP</v>
      </c>
      <c r="K13" s="23" t="str">
        <f t="shared" si="1"/>
        <v>1011</v>
      </c>
      <c r="L13" s="23" t="str">
        <f t="shared" si="2"/>
        <v>1011</v>
      </c>
      <c r="M13" s="23" t="str">
        <f t="shared" si="3"/>
        <v>SAM WILSON</v>
      </c>
      <c r="N13" s="24" t="str">
        <f t="shared" si="4"/>
        <v>sam wilson</v>
      </c>
      <c r="O13" s="24" t="str">
        <f t="shared" si="5"/>
        <v>Sam Wilson</v>
      </c>
    </row>
    <row r="14" spans="1:15" ht="20.100000000000001" customHeight="1">
      <c r="A14" s="5" t="s">
        <v>47</v>
      </c>
      <c r="B14" s="2" t="s">
        <v>48</v>
      </c>
      <c r="C14" s="2" t="str">
        <f>TRIM(B14)</f>
        <v>Bob Johnson</v>
      </c>
      <c r="D14" s="2" t="s">
        <v>23</v>
      </c>
      <c r="E14" s="2">
        <v>96418</v>
      </c>
      <c r="F14" s="3">
        <v>42092</v>
      </c>
      <c r="G14" s="2">
        <v>5</v>
      </c>
      <c r="H14" s="2" t="s">
        <v>24</v>
      </c>
      <c r="I14" s="6" t="s">
        <v>17</v>
      </c>
      <c r="J14" s="19" t="str">
        <f t="shared" si="0"/>
        <v>EMP</v>
      </c>
      <c r="K14" s="23" t="str">
        <f t="shared" si="1"/>
        <v>1012</v>
      </c>
      <c r="L14" s="23" t="str">
        <f t="shared" si="2"/>
        <v>1012</v>
      </c>
      <c r="M14" s="23" t="str">
        <f t="shared" si="3"/>
        <v>BOB JOHNSON</v>
      </c>
      <c r="N14" s="24" t="str">
        <f t="shared" si="4"/>
        <v>bob johnson</v>
      </c>
      <c r="O14" s="24" t="str">
        <f t="shared" si="5"/>
        <v>Bob Johnson</v>
      </c>
    </row>
    <row r="15" spans="1:15" ht="20.100000000000001" customHeight="1">
      <c r="A15" s="5" t="s">
        <v>49</v>
      </c>
      <c r="B15" s="4" t="s">
        <v>34</v>
      </c>
      <c r="C15" s="4" t="str">
        <f>TRIM(B15)</f>
        <v>Sam Wilson</v>
      </c>
      <c r="D15" s="2" t="s">
        <v>37</v>
      </c>
      <c r="E15" s="2">
        <v>62158</v>
      </c>
      <c r="F15" s="3">
        <v>42099</v>
      </c>
      <c r="G15" s="2">
        <v>4</v>
      </c>
      <c r="H15" s="2"/>
      <c r="I15" s="6" t="s">
        <v>50</v>
      </c>
      <c r="J15" s="19" t="str">
        <f t="shared" si="0"/>
        <v>EMP</v>
      </c>
      <c r="K15" s="23" t="str">
        <f t="shared" si="1"/>
        <v>1013</v>
      </c>
      <c r="L15" s="23" t="str">
        <f t="shared" si="2"/>
        <v>1013</v>
      </c>
      <c r="M15" s="23" t="str">
        <f t="shared" si="3"/>
        <v>SAM WILSON</v>
      </c>
      <c r="N15" s="24" t="str">
        <f t="shared" si="4"/>
        <v>sam wilson</v>
      </c>
      <c r="O15" s="24" t="str">
        <f t="shared" si="5"/>
        <v>Sam Wilson</v>
      </c>
    </row>
    <row r="16" spans="1:15" ht="20.100000000000001" customHeight="1">
      <c r="A16" s="5" t="s">
        <v>51</v>
      </c>
      <c r="B16" s="2" t="s">
        <v>27</v>
      </c>
      <c r="C16" s="2" t="str">
        <f>TRIM(B16)</f>
        <v>Jane Smith</v>
      </c>
      <c r="D16" s="2" t="s">
        <v>15</v>
      </c>
      <c r="E16" s="2">
        <v>59894</v>
      </c>
      <c r="F16" s="3">
        <v>42106</v>
      </c>
      <c r="G16" s="2">
        <v>2</v>
      </c>
      <c r="H16" s="2" t="s">
        <v>24</v>
      </c>
      <c r="I16" s="6" t="s">
        <v>52</v>
      </c>
      <c r="J16" s="19" t="str">
        <f t="shared" si="0"/>
        <v>EMP</v>
      </c>
      <c r="K16" s="23" t="str">
        <f t="shared" si="1"/>
        <v>1014</v>
      </c>
      <c r="L16" s="23" t="str">
        <f t="shared" si="2"/>
        <v>1014</v>
      </c>
      <c r="M16" s="23" t="str">
        <f t="shared" si="3"/>
        <v>JANE SMITH</v>
      </c>
      <c r="N16" s="24" t="str">
        <f t="shared" si="4"/>
        <v>jane smith</v>
      </c>
      <c r="O16" s="24" t="str">
        <f t="shared" si="5"/>
        <v>Jane Smith</v>
      </c>
    </row>
    <row r="17" spans="1:15" ht="20.100000000000001" customHeight="1">
      <c r="A17" s="5" t="s">
        <v>53</v>
      </c>
      <c r="B17" s="2"/>
      <c r="C17" s="2" t="str">
        <f>TRIM(B17)</f>
        <v/>
      </c>
      <c r="D17" s="2" t="s">
        <v>30</v>
      </c>
      <c r="E17" s="2">
        <v>92443</v>
      </c>
      <c r="F17" s="3">
        <v>42113</v>
      </c>
      <c r="G17" s="2">
        <v>3</v>
      </c>
      <c r="H17" s="2" t="s">
        <v>16</v>
      </c>
      <c r="I17" s="6" t="s">
        <v>54</v>
      </c>
      <c r="J17" s="19" t="str">
        <f t="shared" si="0"/>
        <v>EMP</v>
      </c>
      <c r="K17" s="23" t="str">
        <f t="shared" si="1"/>
        <v>1015</v>
      </c>
      <c r="L17" s="23" t="str">
        <f t="shared" si="2"/>
        <v>1015</v>
      </c>
      <c r="M17" s="23" t="str">
        <f t="shared" si="3"/>
        <v/>
      </c>
      <c r="N17" s="24" t="str">
        <f t="shared" si="4"/>
        <v/>
      </c>
      <c r="O17" s="24" t="str">
        <f t="shared" si="5"/>
        <v/>
      </c>
    </row>
    <row r="18" spans="1:15" ht="20.100000000000001" customHeight="1">
      <c r="A18" s="5" t="s">
        <v>55</v>
      </c>
      <c r="B18" s="4" t="s">
        <v>48</v>
      </c>
      <c r="C18" s="4" t="str">
        <f>TRIM(B18)</f>
        <v>Bob Johnson</v>
      </c>
      <c r="D18" s="2" t="s">
        <v>37</v>
      </c>
      <c r="E18" s="2">
        <v>90271</v>
      </c>
      <c r="F18" s="3">
        <v>42120</v>
      </c>
      <c r="G18" s="2"/>
      <c r="H18" s="2"/>
      <c r="I18" s="6" t="s">
        <v>56</v>
      </c>
      <c r="J18" s="19" t="str">
        <f t="shared" si="0"/>
        <v>EMP</v>
      </c>
      <c r="K18" s="23" t="str">
        <f t="shared" si="1"/>
        <v>1016</v>
      </c>
      <c r="L18" s="23" t="str">
        <f t="shared" si="2"/>
        <v>1016</v>
      </c>
      <c r="M18" s="23" t="str">
        <f t="shared" si="3"/>
        <v>BOB JOHNSON</v>
      </c>
      <c r="N18" s="24" t="str">
        <f t="shared" si="4"/>
        <v>bob johnson</v>
      </c>
      <c r="O18" s="24" t="str">
        <f t="shared" si="5"/>
        <v>Bob Johnson</v>
      </c>
    </row>
    <row r="19" spans="1:15" ht="20.100000000000001" customHeight="1">
      <c r="A19" s="5" t="s">
        <v>57</v>
      </c>
      <c r="B19" s="2" t="s">
        <v>27</v>
      </c>
      <c r="C19" s="2" t="str">
        <f>TRIM(B19)</f>
        <v>Jane Smith</v>
      </c>
      <c r="D19" s="2" t="s">
        <v>9</v>
      </c>
      <c r="E19" s="2">
        <v>41341</v>
      </c>
      <c r="F19" s="3">
        <v>42127</v>
      </c>
      <c r="G19" s="2">
        <v>1</v>
      </c>
      <c r="H19" s="2" t="s">
        <v>16</v>
      </c>
      <c r="I19" s="6" t="s">
        <v>58</v>
      </c>
      <c r="J19" s="19" t="str">
        <f t="shared" si="0"/>
        <v>EMP</v>
      </c>
      <c r="K19" s="23" t="str">
        <f t="shared" si="1"/>
        <v>1017</v>
      </c>
      <c r="L19" s="23" t="str">
        <f t="shared" si="2"/>
        <v>1017</v>
      </c>
      <c r="M19" s="23" t="str">
        <f t="shared" si="3"/>
        <v>JANE SMITH</v>
      </c>
      <c r="N19" s="24" t="str">
        <f t="shared" si="4"/>
        <v>jane smith</v>
      </c>
      <c r="O19" s="24" t="str">
        <f t="shared" si="5"/>
        <v>Jane Smith</v>
      </c>
    </row>
    <row r="20" spans="1:15" ht="20.100000000000001" customHeight="1">
      <c r="A20" s="5" t="s">
        <v>59</v>
      </c>
      <c r="B20" s="2" t="s">
        <v>19</v>
      </c>
      <c r="C20" s="2" t="str">
        <f>TRIM(B20)</f>
        <v>Alice Brown</v>
      </c>
      <c r="D20" s="2" t="s">
        <v>9</v>
      </c>
      <c r="E20" s="2">
        <v>73602</v>
      </c>
      <c r="F20" s="3">
        <v>42134</v>
      </c>
      <c r="G20" s="2"/>
      <c r="H20" s="2"/>
      <c r="I20" s="6" t="s">
        <v>60</v>
      </c>
      <c r="J20" s="19" t="str">
        <f t="shared" si="0"/>
        <v>EMP</v>
      </c>
      <c r="K20" s="23" t="str">
        <f t="shared" si="1"/>
        <v>1018</v>
      </c>
      <c r="L20" s="23" t="str">
        <f t="shared" si="2"/>
        <v>1018</v>
      </c>
      <c r="M20" s="23" t="str">
        <f t="shared" si="3"/>
        <v>ALICE BROWN</v>
      </c>
      <c r="N20" s="24" t="str">
        <f t="shared" si="4"/>
        <v>alice brown</v>
      </c>
      <c r="O20" s="24" t="str">
        <f t="shared" si="5"/>
        <v>Alice Brown</v>
      </c>
    </row>
    <row r="21" spans="1:15" ht="20.100000000000001" customHeight="1">
      <c r="A21" s="5" t="s">
        <v>61</v>
      </c>
      <c r="B21" s="4" t="s">
        <v>14</v>
      </c>
      <c r="C21" s="4" t="str">
        <f>TRIM(B21)</f>
        <v>Eve Adams</v>
      </c>
      <c r="D21" s="2" t="s">
        <v>37</v>
      </c>
      <c r="E21" s="2">
        <v>67531</v>
      </c>
      <c r="F21" s="3">
        <v>42141</v>
      </c>
      <c r="G21" s="2">
        <v>5</v>
      </c>
      <c r="H21" s="2" t="s">
        <v>31</v>
      </c>
      <c r="I21" s="6" t="s">
        <v>62</v>
      </c>
      <c r="J21" s="19" t="str">
        <f t="shared" si="0"/>
        <v>EMP</v>
      </c>
      <c r="K21" s="23" t="str">
        <f t="shared" si="1"/>
        <v>1019</v>
      </c>
      <c r="L21" s="23" t="str">
        <f t="shared" si="2"/>
        <v>1019</v>
      </c>
      <c r="M21" s="23" t="str">
        <f t="shared" si="3"/>
        <v>EVE ADAMS</v>
      </c>
      <c r="N21" s="24" t="str">
        <f t="shared" si="4"/>
        <v>eve adams</v>
      </c>
      <c r="O21" s="24" t="str">
        <f t="shared" si="5"/>
        <v>Eve Adams</v>
      </c>
    </row>
    <row r="22" spans="1:15" ht="20.100000000000001" customHeight="1">
      <c r="A22" s="5" t="s">
        <v>63</v>
      </c>
      <c r="B22" s="2" t="s">
        <v>27</v>
      </c>
      <c r="C22" s="2" t="str">
        <f>TRIM(B22)</f>
        <v>Jane Smith</v>
      </c>
      <c r="D22" s="2" t="s">
        <v>15</v>
      </c>
      <c r="E22" s="2" t="s">
        <v>10</v>
      </c>
      <c r="F22" s="3">
        <v>42148</v>
      </c>
      <c r="G22" s="2">
        <v>2</v>
      </c>
      <c r="H22" s="2" t="s">
        <v>16</v>
      </c>
      <c r="I22" s="6" t="s">
        <v>64</v>
      </c>
      <c r="J22" s="19" t="str">
        <f t="shared" si="0"/>
        <v>EMP</v>
      </c>
      <c r="K22" s="23" t="str">
        <f t="shared" si="1"/>
        <v>1020</v>
      </c>
      <c r="L22" s="23" t="str">
        <f t="shared" si="2"/>
        <v>1020</v>
      </c>
      <c r="M22" s="23" t="str">
        <f t="shared" si="3"/>
        <v>JANE SMITH</v>
      </c>
      <c r="N22" s="24" t="str">
        <f t="shared" si="4"/>
        <v>jane smith</v>
      </c>
      <c r="O22" s="24" t="str">
        <f t="shared" si="5"/>
        <v>Jane Smith</v>
      </c>
    </row>
    <row r="23" spans="1:15" ht="20.100000000000001" customHeight="1">
      <c r="A23" s="5" t="s">
        <v>65</v>
      </c>
      <c r="B23" s="2" t="s">
        <v>27</v>
      </c>
      <c r="C23" s="2" t="str">
        <f>TRIM(B23)</f>
        <v>Jane Smith</v>
      </c>
      <c r="D23" s="2" t="s">
        <v>15</v>
      </c>
      <c r="E23" s="2">
        <v>98922</v>
      </c>
      <c r="F23" s="3">
        <v>42155</v>
      </c>
      <c r="G23" s="2">
        <v>4</v>
      </c>
      <c r="H23" s="2"/>
      <c r="I23" s="6" t="s">
        <v>66</v>
      </c>
      <c r="J23" s="19" t="str">
        <f t="shared" si="0"/>
        <v>EMP</v>
      </c>
      <c r="K23" s="23" t="str">
        <f t="shared" si="1"/>
        <v>1021</v>
      </c>
      <c r="L23" s="23" t="str">
        <f t="shared" si="2"/>
        <v>1021</v>
      </c>
      <c r="M23" s="23" t="str">
        <f t="shared" si="3"/>
        <v>JANE SMITH</v>
      </c>
      <c r="N23" s="24" t="str">
        <f t="shared" si="4"/>
        <v>jane smith</v>
      </c>
      <c r="O23" s="24" t="str">
        <f t="shared" si="5"/>
        <v>Jane Smith</v>
      </c>
    </row>
    <row r="24" spans="1:15" ht="20.100000000000001" customHeight="1">
      <c r="A24" s="5" t="s">
        <v>67</v>
      </c>
      <c r="B24" s="2" t="s">
        <v>14</v>
      </c>
      <c r="C24" s="2" t="str">
        <f>TRIM(B24)</f>
        <v>Eve Adams</v>
      </c>
      <c r="D24" s="2" t="s">
        <v>9</v>
      </c>
      <c r="E24" s="2">
        <v>38333</v>
      </c>
      <c r="F24" s="3">
        <v>42162</v>
      </c>
      <c r="G24" s="2">
        <v>5</v>
      </c>
      <c r="H24" s="2"/>
      <c r="I24" s="6" t="s">
        <v>68</v>
      </c>
      <c r="J24" s="19" t="str">
        <f t="shared" si="0"/>
        <v>EMP</v>
      </c>
      <c r="K24" s="23" t="str">
        <f t="shared" si="1"/>
        <v>1022</v>
      </c>
      <c r="L24" s="23" t="str">
        <f t="shared" si="2"/>
        <v>1022</v>
      </c>
      <c r="M24" s="23" t="str">
        <f t="shared" si="3"/>
        <v>EVE ADAMS</v>
      </c>
      <c r="N24" s="24" t="str">
        <f t="shared" si="4"/>
        <v>eve adams</v>
      </c>
      <c r="O24" s="24" t="str">
        <f t="shared" si="5"/>
        <v>Eve Adams</v>
      </c>
    </row>
    <row r="25" spans="1:15" ht="20.100000000000001" customHeight="1">
      <c r="A25" s="5" t="s">
        <v>69</v>
      </c>
      <c r="B25" s="2" t="s">
        <v>19</v>
      </c>
      <c r="C25" s="2" t="str">
        <f>TRIM(B25)</f>
        <v>Alice Brown</v>
      </c>
      <c r="D25" s="2" t="s">
        <v>37</v>
      </c>
      <c r="E25" s="2">
        <v>36515</v>
      </c>
      <c r="F25" s="3">
        <v>42169</v>
      </c>
      <c r="G25" s="2">
        <v>3</v>
      </c>
      <c r="H25" s="2" t="s">
        <v>24</v>
      </c>
      <c r="I25" s="6" t="s">
        <v>70</v>
      </c>
      <c r="J25" s="19" t="str">
        <f t="shared" si="0"/>
        <v>EMP</v>
      </c>
      <c r="K25" s="23" t="str">
        <f t="shared" si="1"/>
        <v>1023</v>
      </c>
      <c r="L25" s="23" t="str">
        <f t="shared" si="2"/>
        <v>1023</v>
      </c>
      <c r="M25" s="23" t="str">
        <f t="shared" si="3"/>
        <v>ALICE BROWN</v>
      </c>
      <c r="N25" s="24" t="str">
        <f t="shared" si="4"/>
        <v>alice brown</v>
      </c>
      <c r="O25" s="24" t="str">
        <f t="shared" si="5"/>
        <v>Alice Brown</v>
      </c>
    </row>
    <row r="26" spans="1:15" ht="20.100000000000001" customHeight="1">
      <c r="A26" s="5" t="s">
        <v>71</v>
      </c>
      <c r="B26" s="2" t="s">
        <v>34</v>
      </c>
      <c r="C26" s="2" t="str">
        <f>TRIM(B26)</f>
        <v>Sam Wilson</v>
      </c>
      <c r="D26" s="2" t="s">
        <v>9</v>
      </c>
      <c r="E26" s="2">
        <v>91005</v>
      </c>
      <c r="F26" s="3">
        <v>42176</v>
      </c>
      <c r="G26" s="2">
        <v>1</v>
      </c>
      <c r="H26" s="2" t="s">
        <v>16</v>
      </c>
      <c r="I26" s="6" t="s">
        <v>72</v>
      </c>
      <c r="J26" s="19" t="str">
        <f t="shared" si="0"/>
        <v>EMP</v>
      </c>
      <c r="K26" s="23" t="str">
        <f t="shared" si="1"/>
        <v>1024</v>
      </c>
      <c r="L26" s="23" t="str">
        <f t="shared" si="2"/>
        <v>1024</v>
      </c>
      <c r="M26" s="23" t="str">
        <f t="shared" si="3"/>
        <v>SAM WILSON</v>
      </c>
      <c r="N26" s="24" t="str">
        <f t="shared" si="4"/>
        <v>sam wilson</v>
      </c>
      <c r="O26" s="24" t="str">
        <f t="shared" si="5"/>
        <v>Sam Wilson</v>
      </c>
    </row>
    <row r="27" spans="1:15" ht="20.100000000000001" customHeight="1">
      <c r="A27" s="5" t="s">
        <v>73</v>
      </c>
      <c r="B27" s="2" t="s">
        <v>36</v>
      </c>
      <c r="C27" s="2" t="str">
        <f>TRIM(B27)</f>
        <v>Chris Lee</v>
      </c>
      <c r="D27" s="2" t="s">
        <v>37</v>
      </c>
      <c r="E27" s="2">
        <v>52272</v>
      </c>
      <c r="F27" s="3">
        <v>42183</v>
      </c>
      <c r="G27" s="2">
        <v>3</v>
      </c>
      <c r="H27" s="2"/>
      <c r="I27" s="6" t="s">
        <v>74</v>
      </c>
      <c r="J27" s="19" t="str">
        <f t="shared" si="0"/>
        <v>EMP</v>
      </c>
      <c r="K27" s="23" t="str">
        <f t="shared" si="1"/>
        <v>1025</v>
      </c>
      <c r="L27" s="23" t="str">
        <f t="shared" si="2"/>
        <v>1025</v>
      </c>
      <c r="M27" s="23" t="str">
        <f t="shared" si="3"/>
        <v>CHRIS LEE</v>
      </c>
      <c r="N27" s="24" t="str">
        <f t="shared" si="4"/>
        <v>chris lee</v>
      </c>
      <c r="O27" s="24" t="str">
        <f t="shared" si="5"/>
        <v>Chris Lee</v>
      </c>
    </row>
    <row r="28" spans="1:15" ht="20.100000000000001" customHeight="1">
      <c r="A28" s="5" t="s">
        <v>75</v>
      </c>
      <c r="B28" s="2" t="s">
        <v>14</v>
      </c>
      <c r="C28" s="2" t="str">
        <f>TRIM(B28)</f>
        <v>Eve Adams</v>
      </c>
      <c r="D28" s="2" t="s">
        <v>23</v>
      </c>
      <c r="E28" s="2">
        <v>76518</v>
      </c>
      <c r="F28" s="3">
        <v>42190</v>
      </c>
      <c r="G28" s="2">
        <v>2</v>
      </c>
      <c r="H28" s="2" t="s">
        <v>31</v>
      </c>
      <c r="I28" s="6" t="s">
        <v>76</v>
      </c>
      <c r="J28" s="19" t="str">
        <f t="shared" si="0"/>
        <v>EMP</v>
      </c>
      <c r="K28" s="23" t="str">
        <f t="shared" si="1"/>
        <v>1026</v>
      </c>
      <c r="L28" s="23" t="str">
        <f t="shared" si="2"/>
        <v>1026</v>
      </c>
      <c r="M28" s="23" t="str">
        <f t="shared" si="3"/>
        <v>EVE ADAMS</v>
      </c>
      <c r="N28" s="24" t="str">
        <f t="shared" si="4"/>
        <v>eve adams</v>
      </c>
      <c r="O28" s="24" t="str">
        <f t="shared" si="5"/>
        <v>Eve Adams</v>
      </c>
    </row>
    <row r="29" spans="1:15" ht="20.100000000000001" customHeight="1">
      <c r="A29" s="5" t="s">
        <v>77</v>
      </c>
      <c r="B29" s="2" t="s">
        <v>19</v>
      </c>
      <c r="C29" s="2" t="str">
        <f>TRIM(B29)</f>
        <v>Alice Brown</v>
      </c>
      <c r="D29" s="2" t="s">
        <v>30</v>
      </c>
      <c r="E29" s="2">
        <v>41448</v>
      </c>
      <c r="F29" s="3">
        <v>42197</v>
      </c>
      <c r="G29" s="2">
        <v>3</v>
      </c>
      <c r="H29" s="2" t="s">
        <v>16</v>
      </c>
      <c r="I29" s="6" t="s">
        <v>78</v>
      </c>
      <c r="J29" s="19" t="str">
        <f t="shared" si="0"/>
        <v>EMP</v>
      </c>
      <c r="K29" s="23" t="str">
        <f t="shared" si="1"/>
        <v>1027</v>
      </c>
      <c r="L29" s="23" t="str">
        <f t="shared" si="2"/>
        <v>1027</v>
      </c>
      <c r="M29" s="23" t="str">
        <f t="shared" si="3"/>
        <v>ALICE BROWN</v>
      </c>
      <c r="N29" s="24" t="str">
        <f t="shared" si="4"/>
        <v>alice brown</v>
      </c>
      <c r="O29" s="24" t="str">
        <f t="shared" si="5"/>
        <v>Alice Brown</v>
      </c>
    </row>
    <row r="30" spans="1:15" ht="20.100000000000001" customHeight="1">
      <c r="A30" s="5" t="s">
        <v>79</v>
      </c>
      <c r="B30" s="2" t="s">
        <v>22</v>
      </c>
      <c r="C30" s="2" t="str">
        <f>TRIM(B30)</f>
        <v>John Doe</v>
      </c>
      <c r="D30" s="2" t="s">
        <v>15</v>
      </c>
      <c r="E30" s="2">
        <v>49282</v>
      </c>
      <c r="F30" s="3">
        <v>42204</v>
      </c>
      <c r="G30" s="2">
        <v>2</v>
      </c>
      <c r="H30" s="2" t="s">
        <v>31</v>
      </c>
      <c r="I30" s="6" t="s">
        <v>80</v>
      </c>
      <c r="J30" s="19" t="str">
        <f t="shared" si="0"/>
        <v>EMP</v>
      </c>
      <c r="K30" s="23" t="str">
        <f t="shared" si="1"/>
        <v>1028</v>
      </c>
      <c r="L30" s="23" t="str">
        <f t="shared" si="2"/>
        <v>1028</v>
      </c>
      <c r="M30" s="23" t="str">
        <f t="shared" si="3"/>
        <v>JOHN DOE</v>
      </c>
      <c r="N30" s="24" t="str">
        <f t="shared" si="4"/>
        <v>john doe</v>
      </c>
      <c r="O30" s="24" t="str">
        <f t="shared" si="5"/>
        <v>John Doe</v>
      </c>
    </row>
    <row r="31" spans="1:15" ht="20.100000000000001" customHeight="1">
      <c r="A31" s="5" t="s">
        <v>81</v>
      </c>
      <c r="B31" s="2" t="s">
        <v>48</v>
      </c>
      <c r="C31" s="2" t="str">
        <f>TRIM(B31)</f>
        <v>Bob Johnson</v>
      </c>
      <c r="D31" s="2" t="s">
        <v>37</v>
      </c>
      <c r="E31" s="2">
        <v>92959</v>
      </c>
      <c r="F31" s="3">
        <v>42211</v>
      </c>
      <c r="G31" s="2">
        <v>5</v>
      </c>
      <c r="H31" s="2"/>
      <c r="I31" s="6" t="s">
        <v>82</v>
      </c>
      <c r="J31" s="19" t="str">
        <f t="shared" si="0"/>
        <v>EMP</v>
      </c>
      <c r="K31" s="23" t="str">
        <f t="shared" si="1"/>
        <v>1029</v>
      </c>
      <c r="L31" s="23" t="str">
        <f t="shared" si="2"/>
        <v>1029</v>
      </c>
      <c r="M31" s="23" t="str">
        <f t="shared" si="3"/>
        <v>BOB JOHNSON</v>
      </c>
      <c r="N31" s="24" t="str">
        <f t="shared" si="4"/>
        <v>bob johnson</v>
      </c>
      <c r="O31" s="24" t="str">
        <f t="shared" si="5"/>
        <v>Bob Johnson</v>
      </c>
    </row>
    <row r="32" spans="1:15" ht="20.100000000000001" customHeight="1">
      <c r="A32" s="5" t="s">
        <v>83</v>
      </c>
      <c r="B32" s="2"/>
      <c r="C32" s="2" t="str">
        <f>TRIM(B32)</f>
        <v/>
      </c>
      <c r="D32" s="4" t="s">
        <v>37</v>
      </c>
      <c r="E32" s="2">
        <v>92259</v>
      </c>
      <c r="F32" s="2" t="s">
        <v>11</v>
      </c>
      <c r="G32" s="2">
        <v>1</v>
      </c>
      <c r="H32" s="2" t="s">
        <v>11</v>
      </c>
      <c r="I32" s="6" t="s">
        <v>84</v>
      </c>
      <c r="J32" s="19" t="str">
        <f t="shared" si="0"/>
        <v>EMP</v>
      </c>
      <c r="K32" s="23" t="str">
        <f t="shared" si="1"/>
        <v>1030</v>
      </c>
      <c r="L32" s="23" t="str">
        <f t="shared" si="2"/>
        <v>1030</v>
      </c>
      <c r="M32" s="23" t="str">
        <f t="shared" si="3"/>
        <v/>
      </c>
      <c r="N32" s="24" t="str">
        <f t="shared" si="4"/>
        <v/>
      </c>
      <c r="O32" s="24" t="str">
        <f t="shared" si="5"/>
        <v/>
      </c>
    </row>
    <row r="33" spans="1:15" ht="20.100000000000001" customHeight="1">
      <c r="A33" s="5" t="s">
        <v>85</v>
      </c>
      <c r="B33" s="2" t="s">
        <v>14</v>
      </c>
      <c r="C33" s="2" t="str">
        <f>TRIM(B33)</f>
        <v>Eve Adams</v>
      </c>
      <c r="D33" s="2" t="s">
        <v>15</v>
      </c>
      <c r="E33" s="2">
        <v>92299</v>
      </c>
      <c r="F33" s="3">
        <v>42225</v>
      </c>
      <c r="G33" s="2">
        <v>3</v>
      </c>
      <c r="H33" s="2" t="s">
        <v>24</v>
      </c>
      <c r="I33" s="6" t="s">
        <v>86</v>
      </c>
      <c r="J33" s="19" t="str">
        <f t="shared" si="0"/>
        <v>EMP</v>
      </c>
      <c r="K33" s="23" t="str">
        <f t="shared" si="1"/>
        <v>1031</v>
      </c>
      <c r="L33" s="23" t="str">
        <f t="shared" si="2"/>
        <v>1031</v>
      </c>
      <c r="M33" s="23" t="str">
        <f t="shared" si="3"/>
        <v>EVE ADAMS</v>
      </c>
      <c r="N33" s="24" t="str">
        <f t="shared" si="4"/>
        <v>eve adams</v>
      </c>
      <c r="O33" s="24" t="str">
        <f t="shared" si="5"/>
        <v>Eve Adams</v>
      </c>
    </row>
    <row r="34" spans="1:15" ht="20.100000000000001" customHeight="1">
      <c r="A34" s="5" t="s">
        <v>87</v>
      </c>
      <c r="B34" s="2" t="s">
        <v>34</v>
      </c>
      <c r="C34" s="2" t="str">
        <f>TRIM(B34)</f>
        <v>Sam Wilson</v>
      </c>
      <c r="D34" s="2" t="s">
        <v>15</v>
      </c>
      <c r="E34" s="2">
        <v>95586</v>
      </c>
      <c r="F34" s="3">
        <v>42232</v>
      </c>
      <c r="G34" s="2">
        <v>3</v>
      </c>
      <c r="H34" s="2" t="s">
        <v>16</v>
      </c>
      <c r="I34" s="6" t="s">
        <v>88</v>
      </c>
      <c r="J34" s="19" t="str">
        <f t="shared" ref="J34:J65" si="6">LEFT(A34,3)</f>
        <v>EMP</v>
      </c>
      <c r="K34" s="23" t="str">
        <f t="shared" ref="K34:K65" si="7">MID(A34,4,4)</f>
        <v>1032</v>
      </c>
      <c r="L34" s="23" t="str">
        <f t="shared" ref="L34:L65" si="8">RIGHT(A34,4)</f>
        <v>1032</v>
      </c>
      <c r="M34" s="23" t="str">
        <f t="shared" ref="M34:M65" si="9">UPPER(C34)</f>
        <v>SAM WILSON</v>
      </c>
      <c r="N34" s="24" t="str">
        <f t="shared" ref="N34:N65" si="10">LOWER(C34)</f>
        <v>sam wilson</v>
      </c>
      <c r="O34" s="24" t="str">
        <f t="shared" ref="O34:O65" si="11">PROPER(C34)</f>
        <v>Sam Wilson</v>
      </c>
    </row>
    <row r="35" spans="1:15" ht="20.100000000000001" customHeight="1">
      <c r="A35" s="5" t="s">
        <v>89</v>
      </c>
      <c r="B35" s="2" t="s">
        <v>36</v>
      </c>
      <c r="C35" s="2" t="str">
        <f>TRIM(B35)</f>
        <v>Chris Lee</v>
      </c>
      <c r="D35" s="2" t="s">
        <v>37</v>
      </c>
      <c r="E35" s="2">
        <v>95367</v>
      </c>
      <c r="F35" s="3">
        <v>42239</v>
      </c>
      <c r="G35" s="2"/>
      <c r="H35" s="2" t="s">
        <v>24</v>
      </c>
      <c r="I35" s="6" t="s">
        <v>90</v>
      </c>
      <c r="J35" s="19" t="str">
        <f t="shared" si="6"/>
        <v>EMP</v>
      </c>
      <c r="K35" s="23" t="str">
        <f t="shared" si="7"/>
        <v>1033</v>
      </c>
      <c r="L35" s="23" t="str">
        <f t="shared" si="8"/>
        <v>1033</v>
      </c>
      <c r="M35" s="23" t="str">
        <f t="shared" si="9"/>
        <v>CHRIS LEE</v>
      </c>
      <c r="N35" s="24" t="str">
        <f t="shared" si="10"/>
        <v>chris lee</v>
      </c>
      <c r="O35" s="24" t="str">
        <f t="shared" si="11"/>
        <v>Chris Lee</v>
      </c>
    </row>
    <row r="36" spans="1:15" ht="20.100000000000001" customHeight="1">
      <c r="A36" s="5" t="s">
        <v>91</v>
      </c>
      <c r="B36" s="2" t="s">
        <v>22</v>
      </c>
      <c r="C36" s="2" t="str">
        <f>TRIM(B36)</f>
        <v>John Doe</v>
      </c>
      <c r="D36" s="2" t="s">
        <v>23</v>
      </c>
      <c r="E36" s="2">
        <v>79549</v>
      </c>
      <c r="F36" s="3">
        <v>42246</v>
      </c>
      <c r="G36" s="2">
        <v>3</v>
      </c>
      <c r="H36" s="2"/>
      <c r="I36" s="6" t="s">
        <v>92</v>
      </c>
      <c r="J36" s="19" t="str">
        <f t="shared" si="6"/>
        <v>EMP</v>
      </c>
      <c r="K36" s="23" t="str">
        <f t="shared" si="7"/>
        <v>1034</v>
      </c>
      <c r="L36" s="23" t="str">
        <f t="shared" si="8"/>
        <v>1034</v>
      </c>
      <c r="M36" s="23" t="str">
        <f t="shared" si="9"/>
        <v>JOHN DOE</v>
      </c>
      <c r="N36" s="24" t="str">
        <f t="shared" si="10"/>
        <v>john doe</v>
      </c>
      <c r="O36" s="24" t="str">
        <f t="shared" si="11"/>
        <v>John Doe</v>
      </c>
    </row>
    <row r="37" spans="1:15" ht="20.100000000000001" customHeight="1">
      <c r="A37" s="5" t="s">
        <v>93</v>
      </c>
      <c r="B37" s="4" t="s">
        <v>19</v>
      </c>
      <c r="C37" s="4" t="str">
        <f>TRIM(B37)</f>
        <v>Alice Brown</v>
      </c>
      <c r="D37" s="2" t="s">
        <v>37</v>
      </c>
      <c r="E37" s="2">
        <v>54463</v>
      </c>
      <c r="F37" s="3">
        <v>42253</v>
      </c>
      <c r="G37" s="2">
        <v>4</v>
      </c>
      <c r="H37" s="2" t="s">
        <v>24</v>
      </c>
      <c r="I37" s="6" t="s">
        <v>12</v>
      </c>
      <c r="J37" s="19" t="str">
        <f t="shared" si="6"/>
        <v>EMP</v>
      </c>
      <c r="K37" s="23" t="str">
        <f t="shared" si="7"/>
        <v>1035</v>
      </c>
      <c r="L37" s="23" t="str">
        <f t="shared" si="8"/>
        <v>1035</v>
      </c>
      <c r="M37" s="23" t="str">
        <f t="shared" si="9"/>
        <v>ALICE BROWN</v>
      </c>
      <c r="N37" s="24" t="str">
        <f t="shared" si="10"/>
        <v>alice brown</v>
      </c>
      <c r="O37" s="24" t="str">
        <f t="shared" si="11"/>
        <v>Alice Brown</v>
      </c>
    </row>
    <row r="38" spans="1:15" ht="20.100000000000001" customHeight="1">
      <c r="A38" s="5" t="s">
        <v>94</v>
      </c>
      <c r="B38" s="2" t="s">
        <v>19</v>
      </c>
      <c r="C38" s="2" t="str">
        <f>TRIM(B38)</f>
        <v>Alice Brown</v>
      </c>
      <c r="D38" s="2" t="s">
        <v>30</v>
      </c>
      <c r="E38" s="2">
        <v>89781</v>
      </c>
      <c r="F38" s="3">
        <v>42260</v>
      </c>
      <c r="G38" s="2"/>
      <c r="H38" s="2" t="s">
        <v>31</v>
      </c>
      <c r="I38" s="6" t="s">
        <v>95</v>
      </c>
      <c r="J38" s="19" t="str">
        <f t="shared" si="6"/>
        <v>EMP</v>
      </c>
      <c r="K38" s="23" t="str">
        <f t="shared" si="7"/>
        <v>1036</v>
      </c>
      <c r="L38" s="23" t="str">
        <f t="shared" si="8"/>
        <v>1036</v>
      </c>
      <c r="M38" s="23" t="str">
        <f t="shared" si="9"/>
        <v>ALICE BROWN</v>
      </c>
      <c r="N38" s="24" t="str">
        <f t="shared" si="10"/>
        <v>alice brown</v>
      </c>
      <c r="O38" s="24" t="str">
        <f t="shared" si="11"/>
        <v>Alice Brown</v>
      </c>
    </row>
    <row r="39" spans="1:15" ht="20.100000000000001" customHeight="1">
      <c r="A39" s="5" t="s">
        <v>96</v>
      </c>
      <c r="B39" s="2" t="s">
        <v>19</v>
      </c>
      <c r="C39" s="2" t="str">
        <f>TRIM(B39)</f>
        <v>Alice Brown</v>
      </c>
      <c r="D39" s="2" t="s">
        <v>15</v>
      </c>
      <c r="E39" s="2">
        <v>64796</v>
      </c>
      <c r="F39" s="3">
        <v>42267</v>
      </c>
      <c r="G39" s="2"/>
      <c r="H39" s="2" t="s">
        <v>16</v>
      </c>
      <c r="I39" s="6" t="s">
        <v>97</v>
      </c>
      <c r="J39" s="19" t="str">
        <f t="shared" si="6"/>
        <v>EMP</v>
      </c>
      <c r="K39" s="23" t="str">
        <f t="shared" si="7"/>
        <v>1037</v>
      </c>
      <c r="L39" s="23" t="str">
        <f t="shared" si="8"/>
        <v>1037</v>
      </c>
      <c r="M39" s="23" t="str">
        <f t="shared" si="9"/>
        <v>ALICE BROWN</v>
      </c>
      <c r="N39" s="24" t="str">
        <f t="shared" si="10"/>
        <v>alice brown</v>
      </c>
      <c r="O39" s="24" t="str">
        <f t="shared" si="11"/>
        <v>Alice Brown</v>
      </c>
    </row>
    <row r="40" spans="1:15" ht="20.100000000000001" customHeight="1">
      <c r="A40" s="5" t="s">
        <v>98</v>
      </c>
      <c r="B40" s="2" t="s">
        <v>22</v>
      </c>
      <c r="C40" s="2" t="str">
        <f>TRIM(B40)</f>
        <v>John Doe</v>
      </c>
      <c r="D40" s="2" t="s">
        <v>37</v>
      </c>
      <c r="E40" s="2">
        <v>52093</v>
      </c>
      <c r="F40" s="3">
        <v>42274</v>
      </c>
      <c r="G40" s="2">
        <v>5</v>
      </c>
      <c r="H40" s="2"/>
      <c r="I40" s="6" t="s">
        <v>99</v>
      </c>
      <c r="J40" s="19" t="str">
        <f t="shared" si="6"/>
        <v>EMP</v>
      </c>
      <c r="K40" s="23" t="str">
        <f t="shared" si="7"/>
        <v>1038</v>
      </c>
      <c r="L40" s="23" t="str">
        <f t="shared" si="8"/>
        <v>1038</v>
      </c>
      <c r="M40" s="23" t="str">
        <f t="shared" si="9"/>
        <v>JOHN DOE</v>
      </c>
      <c r="N40" s="24" t="str">
        <f t="shared" si="10"/>
        <v>john doe</v>
      </c>
      <c r="O40" s="24" t="str">
        <f t="shared" si="11"/>
        <v>John Doe</v>
      </c>
    </row>
    <row r="41" spans="1:15" ht="20.100000000000001" customHeight="1">
      <c r="A41" s="5" t="s">
        <v>100</v>
      </c>
      <c r="B41" s="2" t="s">
        <v>36</v>
      </c>
      <c r="C41" s="2" t="str">
        <f>TRIM(B41)</f>
        <v>Chris Lee</v>
      </c>
      <c r="D41" s="2" t="s">
        <v>15</v>
      </c>
      <c r="E41" s="2">
        <v>48224</v>
      </c>
      <c r="F41" s="3">
        <v>42281</v>
      </c>
      <c r="G41" s="2">
        <v>3</v>
      </c>
      <c r="H41" s="2"/>
      <c r="I41" s="6" t="s">
        <v>101</v>
      </c>
      <c r="J41" s="19" t="str">
        <f t="shared" si="6"/>
        <v>EMP</v>
      </c>
      <c r="K41" s="23" t="str">
        <f t="shared" si="7"/>
        <v>1039</v>
      </c>
      <c r="L41" s="23" t="str">
        <f t="shared" si="8"/>
        <v>1039</v>
      </c>
      <c r="M41" s="23" t="str">
        <f t="shared" si="9"/>
        <v>CHRIS LEE</v>
      </c>
      <c r="N41" s="24" t="str">
        <f t="shared" si="10"/>
        <v>chris lee</v>
      </c>
      <c r="O41" s="24" t="str">
        <f t="shared" si="11"/>
        <v>Chris Lee</v>
      </c>
    </row>
    <row r="42" spans="1:15" ht="20.100000000000001" customHeight="1">
      <c r="A42" s="5" t="s">
        <v>102</v>
      </c>
      <c r="B42" s="2" t="s">
        <v>48</v>
      </c>
      <c r="C42" s="2" t="str">
        <f>TRIM(B42)</f>
        <v>Bob Johnson</v>
      </c>
      <c r="D42" s="2" t="s">
        <v>9</v>
      </c>
      <c r="E42" s="2" t="s">
        <v>10</v>
      </c>
      <c r="F42" s="2" t="s">
        <v>11</v>
      </c>
      <c r="G42" s="2">
        <v>4</v>
      </c>
      <c r="H42" s="2" t="s">
        <v>31</v>
      </c>
      <c r="I42" s="6" t="s">
        <v>103</v>
      </c>
      <c r="J42" s="19" t="str">
        <f t="shared" si="6"/>
        <v>EMP</v>
      </c>
      <c r="K42" s="23" t="str">
        <f t="shared" si="7"/>
        <v>1040</v>
      </c>
      <c r="L42" s="23" t="str">
        <f t="shared" si="8"/>
        <v>1040</v>
      </c>
      <c r="M42" s="23" t="str">
        <f t="shared" si="9"/>
        <v>BOB JOHNSON</v>
      </c>
      <c r="N42" s="24" t="str">
        <f t="shared" si="10"/>
        <v>bob johnson</v>
      </c>
      <c r="O42" s="24" t="str">
        <f t="shared" si="11"/>
        <v>Bob Johnson</v>
      </c>
    </row>
    <row r="43" spans="1:15" ht="20.100000000000001" customHeight="1">
      <c r="A43" s="5" t="s">
        <v>104</v>
      </c>
      <c r="B43" s="2" t="s">
        <v>19</v>
      </c>
      <c r="C43" s="2" t="str">
        <f>TRIM(B43)</f>
        <v>Alice Brown</v>
      </c>
      <c r="D43" s="2" t="s">
        <v>30</v>
      </c>
      <c r="E43" s="2">
        <v>33956</v>
      </c>
      <c r="F43" s="3">
        <v>42295</v>
      </c>
      <c r="G43" s="2"/>
      <c r="H43" s="2"/>
      <c r="I43" s="6" t="s">
        <v>105</v>
      </c>
      <c r="J43" s="19" t="str">
        <f t="shared" si="6"/>
        <v>EMP</v>
      </c>
      <c r="K43" s="23" t="str">
        <f t="shared" si="7"/>
        <v>1041</v>
      </c>
      <c r="L43" s="23" t="str">
        <f t="shared" si="8"/>
        <v>1041</v>
      </c>
      <c r="M43" s="23" t="str">
        <f t="shared" si="9"/>
        <v>ALICE BROWN</v>
      </c>
      <c r="N43" s="24" t="str">
        <f t="shared" si="10"/>
        <v>alice brown</v>
      </c>
      <c r="O43" s="24" t="str">
        <f t="shared" si="11"/>
        <v>Alice Brown</v>
      </c>
    </row>
    <row r="44" spans="1:15" ht="20.100000000000001" customHeight="1">
      <c r="A44" s="5" t="s">
        <v>106</v>
      </c>
      <c r="B44" s="4" t="s">
        <v>48</v>
      </c>
      <c r="C44" s="4" t="str">
        <f>TRIM(B44)</f>
        <v>Bob Johnson</v>
      </c>
      <c r="D44" s="2" t="s">
        <v>37</v>
      </c>
      <c r="E44" s="2">
        <v>64913</v>
      </c>
      <c r="F44" s="3">
        <v>42302</v>
      </c>
      <c r="G44" s="2">
        <v>1</v>
      </c>
      <c r="H44" s="2" t="s">
        <v>31</v>
      </c>
      <c r="I44" s="6" t="s">
        <v>107</v>
      </c>
      <c r="J44" s="19" t="str">
        <f t="shared" si="6"/>
        <v>EMP</v>
      </c>
      <c r="K44" s="23" t="str">
        <f t="shared" si="7"/>
        <v>1042</v>
      </c>
      <c r="L44" s="23" t="str">
        <f t="shared" si="8"/>
        <v>1042</v>
      </c>
      <c r="M44" s="23" t="str">
        <f t="shared" si="9"/>
        <v>BOB JOHNSON</v>
      </c>
      <c r="N44" s="24" t="str">
        <f t="shared" si="10"/>
        <v>bob johnson</v>
      </c>
      <c r="O44" s="24" t="str">
        <f t="shared" si="11"/>
        <v>Bob Johnson</v>
      </c>
    </row>
    <row r="45" spans="1:15" ht="20.100000000000001" customHeight="1">
      <c r="A45" s="5" t="s">
        <v>108</v>
      </c>
      <c r="B45" s="2" t="s">
        <v>19</v>
      </c>
      <c r="C45" s="2" t="str">
        <f>TRIM(B45)</f>
        <v>Alice Brown</v>
      </c>
      <c r="D45" s="2" t="s">
        <v>37</v>
      </c>
      <c r="E45" s="2">
        <v>35326</v>
      </c>
      <c r="F45" s="3">
        <v>42309</v>
      </c>
      <c r="G45" s="2"/>
      <c r="H45" s="2" t="s">
        <v>31</v>
      </c>
      <c r="I45" s="6" t="s">
        <v>109</v>
      </c>
      <c r="J45" s="19" t="str">
        <f t="shared" si="6"/>
        <v>EMP</v>
      </c>
      <c r="K45" s="23" t="str">
        <f t="shared" si="7"/>
        <v>1043</v>
      </c>
      <c r="L45" s="23" t="str">
        <f t="shared" si="8"/>
        <v>1043</v>
      </c>
      <c r="M45" s="23" t="str">
        <f t="shared" si="9"/>
        <v>ALICE BROWN</v>
      </c>
      <c r="N45" s="24" t="str">
        <f t="shared" si="10"/>
        <v>alice brown</v>
      </c>
      <c r="O45" s="24" t="str">
        <f t="shared" si="11"/>
        <v>Alice Brown</v>
      </c>
    </row>
    <row r="46" spans="1:15" ht="20.100000000000001" customHeight="1">
      <c r="A46" s="5" t="s">
        <v>110</v>
      </c>
      <c r="B46" s="2" t="s">
        <v>36</v>
      </c>
      <c r="C46" s="2" t="str">
        <f>TRIM(B46)</f>
        <v>Chris Lee</v>
      </c>
      <c r="D46" s="2" t="s">
        <v>9</v>
      </c>
      <c r="E46" s="2">
        <v>81610</v>
      </c>
      <c r="F46" s="3">
        <v>42316</v>
      </c>
      <c r="G46" s="2">
        <v>1</v>
      </c>
      <c r="H46" s="2"/>
      <c r="I46" s="6" t="s">
        <v>111</v>
      </c>
      <c r="J46" s="19" t="str">
        <f t="shared" si="6"/>
        <v>EMP</v>
      </c>
      <c r="K46" s="23" t="str">
        <f t="shared" si="7"/>
        <v>1044</v>
      </c>
      <c r="L46" s="23" t="str">
        <f t="shared" si="8"/>
        <v>1044</v>
      </c>
      <c r="M46" s="23" t="str">
        <f t="shared" si="9"/>
        <v>CHRIS LEE</v>
      </c>
      <c r="N46" s="24" t="str">
        <f t="shared" si="10"/>
        <v>chris lee</v>
      </c>
      <c r="O46" s="24" t="str">
        <f t="shared" si="11"/>
        <v>Chris Lee</v>
      </c>
    </row>
    <row r="47" spans="1:15" ht="20.100000000000001" customHeight="1">
      <c r="A47" s="5" t="s">
        <v>112</v>
      </c>
      <c r="B47" s="2"/>
      <c r="C47" s="2" t="str">
        <f>TRIM(B47)</f>
        <v/>
      </c>
      <c r="D47" s="2" t="s">
        <v>15</v>
      </c>
      <c r="E47" s="2">
        <v>58962</v>
      </c>
      <c r="F47" s="3">
        <v>42323</v>
      </c>
      <c r="G47" s="2">
        <v>3</v>
      </c>
      <c r="H47" s="2" t="s">
        <v>16</v>
      </c>
      <c r="I47" s="6" t="s">
        <v>17</v>
      </c>
      <c r="J47" s="19" t="str">
        <f t="shared" si="6"/>
        <v>EMP</v>
      </c>
      <c r="K47" s="23" t="str">
        <f t="shared" si="7"/>
        <v>1045</v>
      </c>
      <c r="L47" s="23" t="str">
        <f t="shared" si="8"/>
        <v>1045</v>
      </c>
      <c r="M47" s="23" t="str">
        <f t="shared" si="9"/>
        <v/>
      </c>
      <c r="N47" s="24" t="str">
        <f t="shared" si="10"/>
        <v/>
      </c>
      <c r="O47" s="24" t="str">
        <f t="shared" si="11"/>
        <v/>
      </c>
    </row>
    <row r="48" spans="1:15" ht="20.100000000000001" customHeight="1">
      <c r="A48" s="5" t="s">
        <v>113</v>
      </c>
      <c r="B48" s="2" t="s">
        <v>36</v>
      </c>
      <c r="C48" s="2" t="str">
        <f>TRIM(B48)</f>
        <v>Chris Lee</v>
      </c>
      <c r="D48" s="2" t="s">
        <v>30</v>
      </c>
      <c r="E48" s="2">
        <v>92701</v>
      </c>
      <c r="F48" s="3">
        <v>42330</v>
      </c>
      <c r="G48" s="2">
        <v>3</v>
      </c>
      <c r="H48" s="2" t="s">
        <v>16</v>
      </c>
      <c r="I48" s="6" t="s">
        <v>114</v>
      </c>
      <c r="J48" s="19" t="str">
        <f t="shared" si="6"/>
        <v>EMP</v>
      </c>
      <c r="K48" s="23" t="str">
        <f t="shared" si="7"/>
        <v>1046</v>
      </c>
      <c r="L48" s="23" t="str">
        <f t="shared" si="8"/>
        <v>1046</v>
      </c>
      <c r="M48" s="23" t="str">
        <f t="shared" si="9"/>
        <v>CHRIS LEE</v>
      </c>
      <c r="N48" s="24" t="str">
        <f t="shared" si="10"/>
        <v>chris lee</v>
      </c>
      <c r="O48" s="24" t="str">
        <f t="shared" si="11"/>
        <v>Chris Lee</v>
      </c>
    </row>
    <row r="49" spans="1:15" ht="20.100000000000001" customHeight="1">
      <c r="A49" s="5" t="s">
        <v>115</v>
      </c>
      <c r="B49" s="2" t="s">
        <v>36</v>
      </c>
      <c r="C49" s="2" t="str">
        <f>TRIM(B49)</f>
        <v>Chris Lee</v>
      </c>
      <c r="D49" s="2" t="s">
        <v>15</v>
      </c>
      <c r="E49" s="2">
        <v>58245</v>
      </c>
      <c r="F49" s="3">
        <v>42337</v>
      </c>
      <c r="G49" s="2">
        <v>4</v>
      </c>
      <c r="H49" s="2"/>
      <c r="I49" s="6" t="s">
        <v>116</v>
      </c>
      <c r="J49" s="19" t="str">
        <f t="shared" si="6"/>
        <v>EMP</v>
      </c>
      <c r="K49" s="23" t="str">
        <f t="shared" si="7"/>
        <v>1047</v>
      </c>
      <c r="L49" s="23" t="str">
        <f t="shared" si="8"/>
        <v>1047</v>
      </c>
      <c r="M49" s="23" t="str">
        <f t="shared" si="9"/>
        <v>CHRIS LEE</v>
      </c>
      <c r="N49" s="24" t="str">
        <f t="shared" si="10"/>
        <v>chris lee</v>
      </c>
      <c r="O49" s="24" t="str">
        <f t="shared" si="11"/>
        <v>Chris Lee</v>
      </c>
    </row>
    <row r="50" spans="1:15" ht="20.100000000000001" customHeight="1">
      <c r="A50" s="5" t="s">
        <v>117</v>
      </c>
      <c r="B50" s="2" t="s">
        <v>22</v>
      </c>
      <c r="C50" s="2" t="str">
        <f>TRIM(B50)</f>
        <v>John Doe</v>
      </c>
      <c r="D50" s="2" t="s">
        <v>9</v>
      </c>
      <c r="E50" s="2">
        <v>66513</v>
      </c>
      <c r="F50" s="3">
        <v>42344</v>
      </c>
      <c r="G50" s="2">
        <v>2</v>
      </c>
      <c r="H50" s="2" t="s">
        <v>16</v>
      </c>
      <c r="I50" s="6" t="s">
        <v>32</v>
      </c>
      <c r="J50" s="19" t="str">
        <f t="shared" si="6"/>
        <v>EMP</v>
      </c>
      <c r="K50" s="23" t="str">
        <f t="shared" si="7"/>
        <v>1048</v>
      </c>
      <c r="L50" s="23" t="str">
        <f t="shared" si="8"/>
        <v>1048</v>
      </c>
      <c r="M50" s="23" t="str">
        <f t="shared" si="9"/>
        <v>JOHN DOE</v>
      </c>
      <c r="N50" s="24" t="str">
        <f t="shared" si="10"/>
        <v>john doe</v>
      </c>
      <c r="O50" s="24" t="str">
        <f t="shared" si="11"/>
        <v>John Doe</v>
      </c>
    </row>
    <row r="51" spans="1:15" ht="20.100000000000001" customHeight="1">
      <c r="A51" s="5" t="s">
        <v>118</v>
      </c>
      <c r="B51" s="2" t="s">
        <v>14</v>
      </c>
      <c r="C51" s="2" t="str">
        <f>TRIM(B51)</f>
        <v>Eve Adams</v>
      </c>
      <c r="D51" s="2" t="s">
        <v>15</v>
      </c>
      <c r="E51" s="2">
        <v>78720</v>
      </c>
      <c r="F51" s="3">
        <v>42351</v>
      </c>
      <c r="G51" s="2">
        <v>5</v>
      </c>
      <c r="H51" s="2" t="s">
        <v>31</v>
      </c>
      <c r="I51" s="6" t="s">
        <v>103</v>
      </c>
      <c r="J51" s="19" t="str">
        <f t="shared" si="6"/>
        <v>EMP</v>
      </c>
      <c r="K51" s="23" t="str">
        <f t="shared" si="7"/>
        <v>1049</v>
      </c>
      <c r="L51" s="23" t="str">
        <f t="shared" si="8"/>
        <v>1049</v>
      </c>
      <c r="M51" s="23" t="str">
        <f t="shared" si="9"/>
        <v>EVE ADAMS</v>
      </c>
      <c r="N51" s="24" t="str">
        <f t="shared" si="10"/>
        <v>eve adams</v>
      </c>
      <c r="O51" s="24" t="str">
        <f t="shared" si="11"/>
        <v>Eve Adams</v>
      </c>
    </row>
    <row r="52" spans="1:15" ht="20.100000000000001" customHeight="1">
      <c r="A52" s="5" t="s">
        <v>119</v>
      </c>
      <c r="B52" s="2" t="s">
        <v>36</v>
      </c>
      <c r="C52" s="2" t="str">
        <f>TRIM(B52)</f>
        <v>Chris Lee</v>
      </c>
      <c r="D52" s="2" t="s">
        <v>37</v>
      </c>
      <c r="E52" s="2">
        <v>30686</v>
      </c>
      <c r="F52" s="2" t="s">
        <v>11</v>
      </c>
      <c r="G52" s="2">
        <v>2</v>
      </c>
      <c r="H52" s="2" t="s">
        <v>31</v>
      </c>
      <c r="I52" s="6" t="s">
        <v>120</v>
      </c>
      <c r="J52" s="19" t="str">
        <f t="shared" si="6"/>
        <v>EMP</v>
      </c>
      <c r="K52" s="23" t="str">
        <f t="shared" si="7"/>
        <v>1050</v>
      </c>
      <c r="L52" s="23" t="str">
        <f t="shared" si="8"/>
        <v>1050</v>
      </c>
      <c r="M52" s="23" t="str">
        <f t="shared" si="9"/>
        <v>CHRIS LEE</v>
      </c>
      <c r="N52" s="24" t="str">
        <f t="shared" si="10"/>
        <v>chris lee</v>
      </c>
      <c r="O52" s="24" t="str">
        <f t="shared" si="11"/>
        <v>Chris Lee</v>
      </c>
    </row>
    <row r="53" spans="1:15" ht="20.100000000000001" customHeight="1">
      <c r="A53" s="5" t="s">
        <v>121</v>
      </c>
      <c r="B53" s="2" t="s">
        <v>34</v>
      </c>
      <c r="C53" s="2" t="str">
        <f>TRIM(B53)</f>
        <v>Sam Wilson</v>
      </c>
      <c r="D53" s="2" t="s">
        <v>23</v>
      </c>
      <c r="E53" s="2">
        <v>39423</v>
      </c>
      <c r="F53" s="3">
        <v>42365</v>
      </c>
      <c r="G53" s="2">
        <v>5</v>
      </c>
      <c r="H53" s="2"/>
      <c r="I53" s="6" t="s">
        <v>122</v>
      </c>
      <c r="J53" s="19" t="str">
        <f t="shared" si="6"/>
        <v>EMP</v>
      </c>
      <c r="K53" s="23" t="str">
        <f t="shared" si="7"/>
        <v>1051</v>
      </c>
      <c r="L53" s="23" t="str">
        <f t="shared" si="8"/>
        <v>1051</v>
      </c>
      <c r="M53" s="23" t="str">
        <f t="shared" si="9"/>
        <v>SAM WILSON</v>
      </c>
      <c r="N53" s="24" t="str">
        <f t="shared" si="10"/>
        <v>sam wilson</v>
      </c>
      <c r="O53" s="24" t="str">
        <f t="shared" si="11"/>
        <v>Sam Wilson</v>
      </c>
    </row>
    <row r="54" spans="1:15" ht="20.100000000000001" customHeight="1">
      <c r="A54" s="5" t="s">
        <v>123</v>
      </c>
      <c r="B54" s="2" t="s">
        <v>14</v>
      </c>
      <c r="C54" s="2" t="str">
        <f>TRIM(B54)</f>
        <v>Eve Adams</v>
      </c>
      <c r="D54" s="4" t="s">
        <v>37</v>
      </c>
      <c r="E54" s="2">
        <v>30280</v>
      </c>
      <c r="F54" s="3">
        <v>42372</v>
      </c>
      <c r="G54" s="2">
        <v>1</v>
      </c>
      <c r="H54" s="2"/>
      <c r="I54" s="6" t="s">
        <v>124</v>
      </c>
      <c r="J54" s="19" t="str">
        <f t="shared" si="6"/>
        <v>EMP</v>
      </c>
      <c r="K54" s="23" t="str">
        <f t="shared" si="7"/>
        <v>1052</v>
      </c>
      <c r="L54" s="23" t="str">
        <f t="shared" si="8"/>
        <v>1052</v>
      </c>
      <c r="M54" s="23" t="str">
        <f t="shared" si="9"/>
        <v>EVE ADAMS</v>
      </c>
      <c r="N54" s="24" t="str">
        <f t="shared" si="10"/>
        <v>eve adams</v>
      </c>
      <c r="O54" s="24" t="str">
        <f t="shared" si="11"/>
        <v>Eve Adams</v>
      </c>
    </row>
    <row r="55" spans="1:15" ht="20.100000000000001" customHeight="1">
      <c r="A55" s="5" t="s">
        <v>125</v>
      </c>
      <c r="B55" s="2" t="s">
        <v>14</v>
      </c>
      <c r="C55" s="2" t="str">
        <f>TRIM(B55)</f>
        <v>Eve Adams</v>
      </c>
      <c r="D55" s="2" t="s">
        <v>9</v>
      </c>
      <c r="E55" s="2">
        <v>33352</v>
      </c>
      <c r="F55" s="3">
        <v>42379</v>
      </c>
      <c r="G55" s="2">
        <v>3</v>
      </c>
      <c r="H55" s="2" t="s">
        <v>31</v>
      </c>
      <c r="I55" s="6" t="s">
        <v>64</v>
      </c>
      <c r="J55" s="19" t="str">
        <f t="shared" si="6"/>
        <v>EMP</v>
      </c>
      <c r="K55" s="23" t="str">
        <f t="shared" si="7"/>
        <v>1053</v>
      </c>
      <c r="L55" s="23" t="str">
        <f t="shared" si="8"/>
        <v>1053</v>
      </c>
      <c r="M55" s="23" t="str">
        <f t="shared" si="9"/>
        <v>EVE ADAMS</v>
      </c>
      <c r="N55" s="24" t="str">
        <f t="shared" si="10"/>
        <v>eve adams</v>
      </c>
      <c r="O55" s="24" t="str">
        <f t="shared" si="11"/>
        <v>Eve Adams</v>
      </c>
    </row>
    <row r="56" spans="1:15" ht="20.100000000000001" customHeight="1">
      <c r="A56" s="5" t="s">
        <v>126</v>
      </c>
      <c r="B56" s="2" t="s">
        <v>48</v>
      </c>
      <c r="C56" s="2" t="str">
        <f>TRIM(B56)</f>
        <v>Bob Johnson</v>
      </c>
      <c r="D56" s="2" t="s">
        <v>37</v>
      </c>
      <c r="E56" s="2">
        <v>75633</v>
      </c>
      <c r="F56" s="3">
        <v>42386</v>
      </c>
      <c r="G56" s="2">
        <v>5</v>
      </c>
      <c r="H56" s="2" t="s">
        <v>16</v>
      </c>
      <c r="I56" s="6" t="s">
        <v>127</v>
      </c>
      <c r="J56" s="19" t="str">
        <f t="shared" si="6"/>
        <v>EMP</v>
      </c>
      <c r="K56" s="23" t="str">
        <f t="shared" si="7"/>
        <v>1054</v>
      </c>
      <c r="L56" s="23" t="str">
        <f t="shared" si="8"/>
        <v>1054</v>
      </c>
      <c r="M56" s="23" t="str">
        <f t="shared" si="9"/>
        <v>BOB JOHNSON</v>
      </c>
      <c r="N56" s="24" t="str">
        <f t="shared" si="10"/>
        <v>bob johnson</v>
      </c>
      <c r="O56" s="24" t="str">
        <f t="shared" si="11"/>
        <v>Bob Johnson</v>
      </c>
    </row>
    <row r="57" spans="1:15" ht="20.100000000000001" customHeight="1">
      <c r="A57" s="5" t="s">
        <v>128</v>
      </c>
      <c r="B57" s="2" t="s">
        <v>36</v>
      </c>
      <c r="C57" s="2" t="str">
        <f>TRIM(B57)</f>
        <v>Chris Lee</v>
      </c>
      <c r="D57" s="2" t="s">
        <v>37</v>
      </c>
      <c r="E57" s="2">
        <v>74815</v>
      </c>
      <c r="F57" s="3">
        <v>42393</v>
      </c>
      <c r="G57" s="2">
        <v>5</v>
      </c>
      <c r="H57" s="2" t="s">
        <v>31</v>
      </c>
      <c r="I57" s="6" t="s">
        <v>129</v>
      </c>
      <c r="J57" s="19" t="str">
        <f t="shared" si="6"/>
        <v>EMP</v>
      </c>
      <c r="K57" s="23" t="str">
        <f t="shared" si="7"/>
        <v>1055</v>
      </c>
      <c r="L57" s="23" t="str">
        <f t="shared" si="8"/>
        <v>1055</v>
      </c>
      <c r="M57" s="23" t="str">
        <f t="shared" si="9"/>
        <v>CHRIS LEE</v>
      </c>
      <c r="N57" s="24" t="str">
        <f t="shared" si="10"/>
        <v>chris lee</v>
      </c>
      <c r="O57" s="24" t="str">
        <f t="shared" si="11"/>
        <v>Chris Lee</v>
      </c>
    </row>
    <row r="58" spans="1:15" ht="20.100000000000001" customHeight="1">
      <c r="A58" s="5" t="s">
        <v>130</v>
      </c>
      <c r="B58" s="2" t="s">
        <v>22</v>
      </c>
      <c r="C58" s="2" t="str">
        <f>TRIM(B58)</f>
        <v>John Doe</v>
      </c>
      <c r="D58" s="2" t="s">
        <v>23</v>
      </c>
      <c r="E58" s="2">
        <v>60011</v>
      </c>
      <c r="F58" s="3">
        <v>42400</v>
      </c>
      <c r="G58" s="2">
        <v>1</v>
      </c>
      <c r="H58" s="2" t="s">
        <v>24</v>
      </c>
      <c r="I58" s="6" t="s">
        <v>131</v>
      </c>
      <c r="J58" s="19" t="str">
        <f t="shared" si="6"/>
        <v>EMP</v>
      </c>
      <c r="K58" s="23" t="str">
        <f t="shared" si="7"/>
        <v>1056</v>
      </c>
      <c r="L58" s="23" t="str">
        <f t="shared" si="8"/>
        <v>1056</v>
      </c>
      <c r="M58" s="23" t="str">
        <f t="shared" si="9"/>
        <v>JOHN DOE</v>
      </c>
      <c r="N58" s="24" t="str">
        <f t="shared" si="10"/>
        <v>john doe</v>
      </c>
      <c r="O58" s="24" t="str">
        <f t="shared" si="11"/>
        <v>John Doe</v>
      </c>
    </row>
    <row r="59" spans="1:15" ht="20.100000000000001" customHeight="1">
      <c r="A59" s="5" t="s">
        <v>132</v>
      </c>
      <c r="B59" s="4" t="s">
        <v>14</v>
      </c>
      <c r="C59" s="4" t="str">
        <f>TRIM(B59)</f>
        <v>Eve Adams</v>
      </c>
      <c r="D59" s="2" t="s">
        <v>37</v>
      </c>
      <c r="E59" s="2">
        <v>96949</v>
      </c>
      <c r="F59" s="3">
        <v>42407</v>
      </c>
      <c r="G59" s="2">
        <v>3</v>
      </c>
      <c r="H59" s="2"/>
      <c r="I59" s="6" t="s">
        <v>78</v>
      </c>
      <c r="J59" s="19" t="str">
        <f t="shared" si="6"/>
        <v>EMP</v>
      </c>
      <c r="K59" s="23" t="str">
        <f t="shared" si="7"/>
        <v>1057</v>
      </c>
      <c r="L59" s="23" t="str">
        <f t="shared" si="8"/>
        <v>1057</v>
      </c>
      <c r="M59" s="23" t="str">
        <f t="shared" si="9"/>
        <v>EVE ADAMS</v>
      </c>
      <c r="N59" s="24" t="str">
        <f t="shared" si="10"/>
        <v>eve adams</v>
      </c>
      <c r="O59" s="24" t="str">
        <f t="shared" si="11"/>
        <v>Eve Adams</v>
      </c>
    </row>
    <row r="60" spans="1:15" ht="20.100000000000001" customHeight="1">
      <c r="A60" s="5" t="s">
        <v>133</v>
      </c>
      <c r="B60" s="2" t="s">
        <v>34</v>
      </c>
      <c r="C60" s="2" t="str">
        <f>TRIM(B60)</f>
        <v>Sam Wilson</v>
      </c>
      <c r="D60" s="4" t="s">
        <v>37</v>
      </c>
      <c r="E60" s="2">
        <v>84924</v>
      </c>
      <c r="F60" s="3">
        <v>42414</v>
      </c>
      <c r="G60" s="2">
        <v>5</v>
      </c>
      <c r="H60" s="2" t="s">
        <v>24</v>
      </c>
      <c r="I60" s="6" t="s">
        <v>134</v>
      </c>
      <c r="J60" s="19" t="str">
        <f t="shared" si="6"/>
        <v>EMP</v>
      </c>
      <c r="K60" s="23" t="str">
        <f t="shared" si="7"/>
        <v>1058</v>
      </c>
      <c r="L60" s="23" t="str">
        <f t="shared" si="8"/>
        <v>1058</v>
      </c>
      <c r="M60" s="23" t="str">
        <f t="shared" si="9"/>
        <v>SAM WILSON</v>
      </c>
      <c r="N60" s="24" t="str">
        <f t="shared" si="10"/>
        <v>sam wilson</v>
      </c>
      <c r="O60" s="24" t="str">
        <f t="shared" si="11"/>
        <v>Sam Wilson</v>
      </c>
    </row>
    <row r="61" spans="1:15" ht="20.100000000000001" customHeight="1">
      <c r="A61" s="5" t="s">
        <v>135</v>
      </c>
      <c r="B61" s="2" t="s">
        <v>34</v>
      </c>
      <c r="C61" s="2" t="str">
        <f>TRIM(B61)</f>
        <v>Sam Wilson</v>
      </c>
      <c r="D61" s="2" t="s">
        <v>9</v>
      </c>
      <c r="E61" s="2">
        <v>82033</v>
      </c>
      <c r="F61" s="3">
        <v>42421</v>
      </c>
      <c r="G61" s="2">
        <v>1</v>
      </c>
      <c r="H61" s="2"/>
      <c r="I61" s="6" t="s">
        <v>111</v>
      </c>
      <c r="J61" s="19" t="str">
        <f t="shared" si="6"/>
        <v>EMP</v>
      </c>
      <c r="K61" s="23" t="str">
        <f t="shared" si="7"/>
        <v>1059</v>
      </c>
      <c r="L61" s="23" t="str">
        <f t="shared" si="8"/>
        <v>1059</v>
      </c>
      <c r="M61" s="23" t="str">
        <f t="shared" si="9"/>
        <v>SAM WILSON</v>
      </c>
      <c r="N61" s="24" t="str">
        <f t="shared" si="10"/>
        <v>sam wilson</v>
      </c>
      <c r="O61" s="24" t="str">
        <f t="shared" si="11"/>
        <v>Sam Wilson</v>
      </c>
    </row>
    <row r="62" spans="1:15" ht="20.100000000000001" customHeight="1">
      <c r="A62" s="5" t="s">
        <v>136</v>
      </c>
      <c r="B62" s="2"/>
      <c r="C62" s="2" t="str">
        <f>TRIM(B62)</f>
        <v/>
      </c>
      <c r="D62" s="2" t="s">
        <v>37</v>
      </c>
      <c r="E62" s="2" t="s">
        <v>10</v>
      </c>
      <c r="F62" s="2" t="s">
        <v>11</v>
      </c>
      <c r="G62" s="2">
        <v>5</v>
      </c>
      <c r="H62" s="2" t="s">
        <v>11</v>
      </c>
      <c r="I62" s="6" t="s">
        <v>137</v>
      </c>
      <c r="J62" s="19" t="str">
        <f t="shared" si="6"/>
        <v>EMP</v>
      </c>
      <c r="K62" s="23" t="str">
        <f t="shared" si="7"/>
        <v>1060</v>
      </c>
      <c r="L62" s="23" t="str">
        <f t="shared" si="8"/>
        <v>1060</v>
      </c>
      <c r="M62" s="23" t="str">
        <f t="shared" si="9"/>
        <v/>
      </c>
      <c r="N62" s="24" t="str">
        <f t="shared" si="10"/>
        <v/>
      </c>
      <c r="O62" s="24" t="str">
        <f t="shared" si="11"/>
        <v/>
      </c>
    </row>
    <row r="63" spans="1:15" ht="20.100000000000001" customHeight="1">
      <c r="A63" s="5" t="s">
        <v>138</v>
      </c>
      <c r="B63" s="4" t="s">
        <v>14</v>
      </c>
      <c r="C63" s="4" t="str">
        <f>TRIM(B63)</f>
        <v>Eve Adams</v>
      </c>
      <c r="D63" s="2" t="s">
        <v>37</v>
      </c>
      <c r="E63" s="2">
        <v>31499</v>
      </c>
      <c r="F63" s="3">
        <v>42435</v>
      </c>
      <c r="G63" s="2">
        <v>2</v>
      </c>
      <c r="H63" s="2"/>
      <c r="I63" s="6" t="s">
        <v>95</v>
      </c>
      <c r="J63" s="19" t="str">
        <f t="shared" si="6"/>
        <v>EMP</v>
      </c>
      <c r="K63" s="23" t="str">
        <f t="shared" si="7"/>
        <v>1061</v>
      </c>
      <c r="L63" s="23" t="str">
        <f t="shared" si="8"/>
        <v>1061</v>
      </c>
      <c r="M63" s="23" t="str">
        <f t="shared" si="9"/>
        <v>EVE ADAMS</v>
      </c>
      <c r="N63" s="24" t="str">
        <f t="shared" si="10"/>
        <v>eve adams</v>
      </c>
      <c r="O63" s="24" t="str">
        <f t="shared" si="11"/>
        <v>Eve Adams</v>
      </c>
    </row>
    <row r="64" spans="1:15" ht="20.100000000000001" customHeight="1">
      <c r="A64" s="5" t="s">
        <v>139</v>
      </c>
      <c r="B64" s="2" t="s">
        <v>36</v>
      </c>
      <c r="C64" s="2" t="str">
        <f>TRIM(B64)</f>
        <v>Chris Lee</v>
      </c>
      <c r="D64" s="2" t="s">
        <v>30</v>
      </c>
      <c r="E64" s="2">
        <v>97981</v>
      </c>
      <c r="F64" s="3">
        <v>42442</v>
      </c>
      <c r="G64" s="2">
        <v>5</v>
      </c>
      <c r="H64" s="2" t="s">
        <v>31</v>
      </c>
      <c r="I64" s="6" t="s">
        <v>140</v>
      </c>
      <c r="J64" s="19" t="str">
        <f t="shared" si="6"/>
        <v>EMP</v>
      </c>
      <c r="K64" s="23" t="str">
        <f t="shared" si="7"/>
        <v>1062</v>
      </c>
      <c r="L64" s="23" t="str">
        <f t="shared" si="8"/>
        <v>1062</v>
      </c>
      <c r="M64" s="23" t="str">
        <f t="shared" si="9"/>
        <v>CHRIS LEE</v>
      </c>
      <c r="N64" s="24" t="str">
        <f t="shared" si="10"/>
        <v>chris lee</v>
      </c>
      <c r="O64" s="24" t="str">
        <f t="shared" si="11"/>
        <v>Chris Lee</v>
      </c>
    </row>
    <row r="65" spans="1:15" ht="20.100000000000001" customHeight="1">
      <c r="A65" s="5" t="s">
        <v>141</v>
      </c>
      <c r="B65" s="2" t="s">
        <v>14</v>
      </c>
      <c r="C65" s="2" t="str">
        <f>TRIM(B65)</f>
        <v>Eve Adams</v>
      </c>
      <c r="D65" s="2" t="s">
        <v>15</v>
      </c>
      <c r="E65" s="2">
        <v>36541</v>
      </c>
      <c r="F65" s="3">
        <v>42449</v>
      </c>
      <c r="G65" s="2">
        <v>2</v>
      </c>
      <c r="H65" s="2" t="s">
        <v>16</v>
      </c>
      <c r="I65" s="6" t="s">
        <v>142</v>
      </c>
      <c r="J65" s="19" t="str">
        <f t="shared" si="6"/>
        <v>EMP</v>
      </c>
      <c r="K65" s="23" t="str">
        <f t="shared" si="7"/>
        <v>1063</v>
      </c>
      <c r="L65" s="23" t="str">
        <f t="shared" si="8"/>
        <v>1063</v>
      </c>
      <c r="M65" s="23" t="str">
        <f t="shared" si="9"/>
        <v>EVE ADAMS</v>
      </c>
      <c r="N65" s="24" t="str">
        <f t="shared" si="10"/>
        <v>eve adams</v>
      </c>
      <c r="O65" s="24" t="str">
        <f t="shared" si="11"/>
        <v>Eve Adams</v>
      </c>
    </row>
    <row r="66" spans="1:15" ht="20.100000000000001" customHeight="1">
      <c r="A66" s="5" t="s">
        <v>143</v>
      </c>
      <c r="B66" s="2" t="s">
        <v>22</v>
      </c>
      <c r="C66" s="2" t="str">
        <f>TRIM(B66)</f>
        <v>John Doe</v>
      </c>
      <c r="D66" s="2" t="s">
        <v>30</v>
      </c>
      <c r="E66" s="2">
        <v>84737</v>
      </c>
      <c r="F66" s="3">
        <v>42456</v>
      </c>
      <c r="G66" s="2">
        <v>1</v>
      </c>
      <c r="H66" s="2" t="s">
        <v>24</v>
      </c>
      <c r="I66" s="6" t="s">
        <v>144</v>
      </c>
      <c r="J66" s="19" t="str">
        <f t="shared" ref="J66:J97" si="12">LEFT(A66,3)</f>
        <v>EMP</v>
      </c>
      <c r="K66" s="23" t="str">
        <f t="shared" ref="K66:K97" si="13">MID(A66,4,4)</f>
        <v>1064</v>
      </c>
      <c r="L66" s="23" t="str">
        <f t="shared" ref="L66:L97" si="14">RIGHT(A66,4)</f>
        <v>1064</v>
      </c>
      <c r="M66" s="23" t="str">
        <f t="shared" ref="M66:M97" si="15">UPPER(C66)</f>
        <v>JOHN DOE</v>
      </c>
      <c r="N66" s="24" t="str">
        <f t="shared" ref="N66:N97" si="16">LOWER(C66)</f>
        <v>john doe</v>
      </c>
      <c r="O66" s="24" t="str">
        <f t="shared" ref="O66:O97" si="17">PROPER(C66)</f>
        <v>John Doe</v>
      </c>
    </row>
    <row r="67" spans="1:15" ht="20.100000000000001" customHeight="1">
      <c r="A67" s="5" t="s">
        <v>145</v>
      </c>
      <c r="B67" s="2" t="s">
        <v>34</v>
      </c>
      <c r="C67" s="2" t="str">
        <f>TRIM(B67)</f>
        <v>Sam Wilson</v>
      </c>
      <c r="D67" s="2" t="s">
        <v>9</v>
      </c>
      <c r="E67" s="2">
        <v>33468</v>
      </c>
      <c r="F67" s="3">
        <v>42463</v>
      </c>
      <c r="G67" s="2">
        <v>4</v>
      </c>
      <c r="H67" s="2" t="s">
        <v>24</v>
      </c>
      <c r="I67" s="6" t="s">
        <v>146</v>
      </c>
      <c r="J67" s="19" t="str">
        <f t="shared" si="12"/>
        <v>EMP</v>
      </c>
      <c r="K67" s="23" t="str">
        <f t="shared" si="13"/>
        <v>1065</v>
      </c>
      <c r="L67" s="23" t="str">
        <f t="shared" si="14"/>
        <v>1065</v>
      </c>
      <c r="M67" s="23" t="str">
        <f t="shared" si="15"/>
        <v>SAM WILSON</v>
      </c>
      <c r="N67" s="24" t="str">
        <f t="shared" si="16"/>
        <v>sam wilson</v>
      </c>
      <c r="O67" s="24" t="str">
        <f t="shared" si="17"/>
        <v>Sam Wilson</v>
      </c>
    </row>
    <row r="68" spans="1:15" ht="20.100000000000001" customHeight="1">
      <c r="A68" s="5" t="s">
        <v>147</v>
      </c>
      <c r="B68" s="4" t="s">
        <v>34</v>
      </c>
      <c r="C68" s="4" t="str">
        <f>TRIM(B68)</f>
        <v>Sam Wilson</v>
      </c>
      <c r="D68" s="2" t="s">
        <v>37</v>
      </c>
      <c r="E68" s="2">
        <v>96365</v>
      </c>
      <c r="F68" s="3">
        <v>42470</v>
      </c>
      <c r="G68" s="2">
        <v>3</v>
      </c>
      <c r="H68" s="2" t="s">
        <v>16</v>
      </c>
      <c r="I68" s="6" t="s">
        <v>148</v>
      </c>
      <c r="J68" s="19" t="str">
        <f t="shared" si="12"/>
        <v>EMP</v>
      </c>
      <c r="K68" s="23" t="str">
        <f t="shared" si="13"/>
        <v>1066</v>
      </c>
      <c r="L68" s="23" t="str">
        <f t="shared" si="14"/>
        <v>1066</v>
      </c>
      <c r="M68" s="23" t="str">
        <f t="shared" si="15"/>
        <v>SAM WILSON</v>
      </c>
      <c r="N68" s="24" t="str">
        <f t="shared" si="16"/>
        <v>sam wilson</v>
      </c>
      <c r="O68" s="24" t="str">
        <f t="shared" si="17"/>
        <v>Sam Wilson</v>
      </c>
    </row>
    <row r="69" spans="1:15" ht="20.100000000000001" customHeight="1">
      <c r="A69" s="5" t="s">
        <v>149</v>
      </c>
      <c r="B69" s="2" t="s">
        <v>19</v>
      </c>
      <c r="C69" s="2" t="str">
        <f>TRIM(B69)</f>
        <v>Alice Brown</v>
      </c>
      <c r="D69" s="2" t="s">
        <v>23</v>
      </c>
      <c r="E69" s="2">
        <v>61942</v>
      </c>
      <c r="F69" s="3">
        <v>42477</v>
      </c>
      <c r="G69" s="2">
        <v>3</v>
      </c>
      <c r="H69" s="2" t="s">
        <v>31</v>
      </c>
      <c r="I69" s="6" t="s">
        <v>150</v>
      </c>
      <c r="J69" s="19" t="str">
        <f t="shared" si="12"/>
        <v>EMP</v>
      </c>
      <c r="K69" s="23" t="str">
        <f t="shared" si="13"/>
        <v>1067</v>
      </c>
      <c r="L69" s="23" t="str">
        <f t="shared" si="14"/>
        <v>1067</v>
      </c>
      <c r="M69" s="23" t="str">
        <f t="shared" si="15"/>
        <v>ALICE BROWN</v>
      </c>
      <c r="N69" s="24" t="str">
        <f t="shared" si="16"/>
        <v>alice brown</v>
      </c>
      <c r="O69" s="24" t="str">
        <f t="shared" si="17"/>
        <v>Alice Brown</v>
      </c>
    </row>
    <row r="70" spans="1:15" ht="20.100000000000001" customHeight="1">
      <c r="A70" s="5" t="s">
        <v>151</v>
      </c>
      <c r="B70" s="2" t="s">
        <v>34</v>
      </c>
      <c r="C70" s="2" t="str">
        <f>TRIM(B70)</f>
        <v>Sam Wilson</v>
      </c>
      <c r="D70" s="2" t="s">
        <v>9</v>
      </c>
      <c r="E70" s="2">
        <v>41467</v>
      </c>
      <c r="F70" s="3">
        <v>42484</v>
      </c>
      <c r="G70" s="2">
        <v>2</v>
      </c>
      <c r="H70" s="2"/>
      <c r="I70" s="6" t="s">
        <v>66</v>
      </c>
      <c r="J70" s="19" t="str">
        <f t="shared" si="12"/>
        <v>EMP</v>
      </c>
      <c r="K70" s="23" t="str">
        <f t="shared" si="13"/>
        <v>1068</v>
      </c>
      <c r="L70" s="23" t="str">
        <f t="shared" si="14"/>
        <v>1068</v>
      </c>
      <c r="M70" s="23" t="str">
        <f t="shared" si="15"/>
        <v>SAM WILSON</v>
      </c>
      <c r="N70" s="24" t="str">
        <f t="shared" si="16"/>
        <v>sam wilson</v>
      </c>
      <c r="O70" s="24" t="str">
        <f t="shared" si="17"/>
        <v>Sam Wilson</v>
      </c>
    </row>
    <row r="71" spans="1:15" ht="20.100000000000001" customHeight="1">
      <c r="A71" s="5" t="s">
        <v>152</v>
      </c>
      <c r="B71" s="2" t="s">
        <v>48</v>
      </c>
      <c r="C71" s="2" t="str">
        <f>TRIM(B71)</f>
        <v>Bob Johnson</v>
      </c>
      <c r="D71" s="2" t="s">
        <v>9</v>
      </c>
      <c r="E71" s="2">
        <v>77096</v>
      </c>
      <c r="F71" s="3">
        <v>42491</v>
      </c>
      <c r="G71" s="2">
        <v>1</v>
      </c>
      <c r="H71" s="2"/>
      <c r="I71" s="6" t="s">
        <v>153</v>
      </c>
      <c r="J71" s="19" t="str">
        <f t="shared" si="12"/>
        <v>EMP</v>
      </c>
      <c r="K71" s="23" t="str">
        <f t="shared" si="13"/>
        <v>1069</v>
      </c>
      <c r="L71" s="23" t="str">
        <f t="shared" si="14"/>
        <v>1069</v>
      </c>
      <c r="M71" s="23" t="str">
        <f t="shared" si="15"/>
        <v>BOB JOHNSON</v>
      </c>
      <c r="N71" s="24" t="str">
        <f t="shared" si="16"/>
        <v>bob johnson</v>
      </c>
      <c r="O71" s="24" t="str">
        <f t="shared" si="17"/>
        <v>Bob Johnson</v>
      </c>
    </row>
    <row r="72" spans="1:15" ht="20.100000000000001" customHeight="1">
      <c r="A72" s="5" t="s">
        <v>154</v>
      </c>
      <c r="B72" s="2" t="s">
        <v>14</v>
      </c>
      <c r="C72" s="2" t="str">
        <f>TRIM(B72)</f>
        <v>Eve Adams</v>
      </c>
      <c r="D72" s="2" t="s">
        <v>23</v>
      </c>
      <c r="E72" s="2">
        <v>69952</v>
      </c>
      <c r="F72" s="3">
        <v>42498</v>
      </c>
      <c r="G72" s="2">
        <v>5</v>
      </c>
      <c r="H72" s="2" t="s">
        <v>31</v>
      </c>
      <c r="I72" s="6" t="s">
        <v>12</v>
      </c>
      <c r="J72" s="19" t="str">
        <f t="shared" si="12"/>
        <v>EMP</v>
      </c>
      <c r="K72" s="23" t="str">
        <f t="shared" si="13"/>
        <v>1070</v>
      </c>
      <c r="L72" s="23" t="str">
        <f t="shared" si="14"/>
        <v>1070</v>
      </c>
      <c r="M72" s="23" t="str">
        <f t="shared" si="15"/>
        <v>EVE ADAMS</v>
      </c>
      <c r="N72" s="24" t="str">
        <f t="shared" si="16"/>
        <v>eve adams</v>
      </c>
      <c r="O72" s="24" t="str">
        <f t="shared" si="17"/>
        <v>Eve Adams</v>
      </c>
    </row>
    <row r="73" spans="1:15" ht="20.100000000000001" customHeight="1">
      <c r="A73" s="5" t="s">
        <v>155</v>
      </c>
      <c r="B73" s="2" t="s">
        <v>14</v>
      </c>
      <c r="C73" s="2" t="str">
        <f>TRIM(B73)</f>
        <v>Eve Adams</v>
      </c>
      <c r="D73" s="2" t="s">
        <v>37</v>
      </c>
      <c r="E73" s="2">
        <v>85065</v>
      </c>
      <c r="F73" s="3">
        <v>42505</v>
      </c>
      <c r="G73" s="2">
        <v>3</v>
      </c>
      <c r="H73" s="2"/>
      <c r="I73" s="6" t="s">
        <v>156</v>
      </c>
      <c r="J73" s="19" t="str">
        <f t="shared" si="12"/>
        <v>EMP</v>
      </c>
      <c r="K73" s="23" t="str">
        <f t="shared" si="13"/>
        <v>1071</v>
      </c>
      <c r="L73" s="23" t="str">
        <f t="shared" si="14"/>
        <v>1071</v>
      </c>
      <c r="M73" s="23" t="str">
        <f t="shared" si="15"/>
        <v>EVE ADAMS</v>
      </c>
      <c r="N73" s="24" t="str">
        <f t="shared" si="16"/>
        <v>eve adams</v>
      </c>
      <c r="O73" s="24" t="str">
        <f t="shared" si="17"/>
        <v>Eve Adams</v>
      </c>
    </row>
    <row r="74" spans="1:15" ht="20.100000000000001" customHeight="1">
      <c r="A74" s="5" t="s">
        <v>157</v>
      </c>
      <c r="B74" s="2" t="s">
        <v>48</v>
      </c>
      <c r="C74" s="2" t="str">
        <f>TRIM(B74)</f>
        <v>Bob Johnson</v>
      </c>
      <c r="D74" s="2" t="s">
        <v>37</v>
      </c>
      <c r="E74" s="2">
        <v>56512</v>
      </c>
      <c r="F74" s="3">
        <v>42512</v>
      </c>
      <c r="G74" s="2"/>
      <c r="H74" s="2" t="s">
        <v>16</v>
      </c>
      <c r="I74" s="6" t="s">
        <v>42</v>
      </c>
      <c r="J74" s="19" t="str">
        <f t="shared" si="12"/>
        <v>EMP</v>
      </c>
      <c r="K74" s="23" t="str">
        <f t="shared" si="13"/>
        <v>1072</v>
      </c>
      <c r="L74" s="23" t="str">
        <f t="shared" si="14"/>
        <v>1072</v>
      </c>
      <c r="M74" s="23" t="str">
        <f t="shared" si="15"/>
        <v>BOB JOHNSON</v>
      </c>
      <c r="N74" s="24" t="str">
        <f t="shared" si="16"/>
        <v>bob johnson</v>
      </c>
      <c r="O74" s="24" t="str">
        <f t="shared" si="17"/>
        <v>Bob Johnson</v>
      </c>
    </row>
    <row r="75" spans="1:15" ht="20.100000000000001" customHeight="1">
      <c r="A75" s="5" t="s">
        <v>158</v>
      </c>
      <c r="B75" s="2" t="s">
        <v>22</v>
      </c>
      <c r="C75" s="2" t="str">
        <f>TRIM(B75)</f>
        <v>John Doe</v>
      </c>
      <c r="D75" s="2" t="s">
        <v>23</v>
      </c>
      <c r="E75" s="2">
        <v>91101</v>
      </c>
      <c r="F75" s="3">
        <v>42519</v>
      </c>
      <c r="G75" s="2">
        <v>4</v>
      </c>
      <c r="H75" s="2" t="s">
        <v>31</v>
      </c>
      <c r="I75" s="6" t="s">
        <v>140</v>
      </c>
      <c r="J75" s="19" t="str">
        <f t="shared" si="12"/>
        <v>EMP</v>
      </c>
      <c r="K75" s="23" t="str">
        <f t="shared" si="13"/>
        <v>1073</v>
      </c>
      <c r="L75" s="23" t="str">
        <f t="shared" si="14"/>
        <v>1073</v>
      </c>
      <c r="M75" s="23" t="str">
        <f t="shared" si="15"/>
        <v>JOHN DOE</v>
      </c>
      <c r="N75" s="24" t="str">
        <f t="shared" si="16"/>
        <v>john doe</v>
      </c>
      <c r="O75" s="24" t="str">
        <f t="shared" si="17"/>
        <v>John Doe</v>
      </c>
    </row>
    <row r="76" spans="1:15" ht="20.100000000000001" customHeight="1">
      <c r="A76" s="5" t="s">
        <v>159</v>
      </c>
      <c r="B76" s="4" t="s">
        <v>34</v>
      </c>
      <c r="C76" s="4" t="str">
        <f>TRIM(B76)</f>
        <v>Sam Wilson</v>
      </c>
      <c r="D76" s="2" t="s">
        <v>37</v>
      </c>
      <c r="E76" s="2">
        <v>41243</v>
      </c>
      <c r="F76" s="3">
        <v>42526</v>
      </c>
      <c r="G76" s="2"/>
      <c r="H76" s="2"/>
      <c r="I76" s="6" t="s">
        <v>86</v>
      </c>
      <c r="J76" s="19" t="str">
        <f t="shared" si="12"/>
        <v>EMP</v>
      </c>
      <c r="K76" s="23" t="str">
        <f t="shared" si="13"/>
        <v>1074</v>
      </c>
      <c r="L76" s="23" t="str">
        <f t="shared" si="14"/>
        <v>1074</v>
      </c>
      <c r="M76" s="23" t="str">
        <f t="shared" si="15"/>
        <v>SAM WILSON</v>
      </c>
      <c r="N76" s="24" t="str">
        <f t="shared" si="16"/>
        <v>sam wilson</v>
      </c>
      <c r="O76" s="24" t="str">
        <f t="shared" si="17"/>
        <v>Sam Wilson</v>
      </c>
    </row>
    <row r="77" spans="1:15" ht="20.100000000000001" customHeight="1">
      <c r="A77" s="5" t="s">
        <v>160</v>
      </c>
      <c r="B77" s="2"/>
      <c r="C77" s="2" t="str">
        <f>TRIM(B77)</f>
        <v/>
      </c>
      <c r="D77" s="2" t="s">
        <v>23</v>
      </c>
      <c r="E77" s="2">
        <v>96142</v>
      </c>
      <c r="F77" s="3">
        <v>42533</v>
      </c>
      <c r="G77" s="2">
        <v>1</v>
      </c>
      <c r="H77" s="2" t="s">
        <v>16</v>
      </c>
      <c r="I77" s="6" t="s">
        <v>161</v>
      </c>
      <c r="J77" s="19" t="str">
        <f t="shared" si="12"/>
        <v>EMP</v>
      </c>
      <c r="K77" s="23" t="str">
        <f t="shared" si="13"/>
        <v>1075</v>
      </c>
      <c r="L77" s="23" t="str">
        <f t="shared" si="14"/>
        <v>1075</v>
      </c>
      <c r="M77" s="23" t="str">
        <f t="shared" si="15"/>
        <v/>
      </c>
      <c r="N77" s="24" t="str">
        <f t="shared" si="16"/>
        <v/>
      </c>
      <c r="O77" s="24" t="str">
        <f t="shared" si="17"/>
        <v/>
      </c>
    </row>
    <row r="78" spans="1:15" ht="20.100000000000001" customHeight="1">
      <c r="A78" s="5" t="s">
        <v>162</v>
      </c>
      <c r="B78" s="2" t="s">
        <v>14</v>
      </c>
      <c r="C78" s="2" t="str">
        <f>TRIM(B78)</f>
        <v>Eve Adams</v>
      </c>
      <c r="D78" s="2" t="s">
        <v>30</v>
      </c>
      <c r="E78" s="2">
        <v>94301</v>
      </c>
      <c r="F78" s="3">
        <v>42540</v>
      </c>
      <c r="G78" s="2">
        <v>1</v>
      </c>
      <c r="H78" s="2" t="s">
        <v>24</v>
      </c>
      <c r="I78" s="6" t="s">
        <v>111</v>
      </c>
      <c r="J78" s="19" t="str">
        <f t="shared" si="12"/>
        <v>EMP</v>
      </c>
      <c r="K78" s="23" t="str">
        <f t="shared" si="13"/>
        <v>1076</v>
      </c>
      <c r="L78" s="23" t="str">
        <f t="shared" si="14"/>
        <v>1076</v>
      </c>
      <c r="M78" s="23" t="str">
        <f t="shared" si="15"/>
        <v>EVE ADAMS</v>
      </c>
      <c r="N78" s="24" t="str">
        <f t="shared" si="16"/>
        <v>eve adams</v>
      </c>
      <c r="O78" s="24" t="str">
        <f t="shared" si="17"/>
        <v>Eve Adams</v>
      </c>
    </row>
    <row r="79" spans="1:15" ht="20.100000000000001" customHeight="1">
      <c r="A79" s="5" t="s">
        <v>163</v>
      </c>
      <c r="B79" s="4" t="s">
        <v>27</v>
      </c>
      <c r="C79" s="4" t="str">
        <f>TRIM(B79)</f>
        <v>Jane Smith</v>
      </c>
      <c r="D79" s="2" t="s">
        <v>37</v>
      </c>
      <c r="E79" s="2">
        <v>69166</v>
      </c>
      <c r="F79" s="3">
        <v>42547</v>
      </c>
      <c r="G79" s="2">
        <v>1</v>
      </c>
      <c r="H79" s="2" t="s">
        <v>31</v>
      </c>
      <c r="I79" s="6" t="s">
        <v>164</v>
      </c>
      <c r="J79" s="19" t="str">
        <f t="shared" si="12"/>
        <v>EMP</v>
      </c>
      <c r="K79" s="23" t="str">
        <f t="shared" si="13"/>
        <v>1077</v>
      </c>
      <c r="L79" s="23" t="str">
        <f t="shared" si="14"/>
        <v>1077</v>
      </c>
      <c r="M79" s="23" t="str">
        <f t="shared" si="15"/>
        <v>JANE SMITH</v>
      </c>
      <c r="N79" s="24" t="str">
        <f t="shared" si="16"/>
        <v>jane smith</v>
      </c>
      <c r="O79" s="24" t="str">
        <f t="shared" si="17"/>
        <v>Jane Smith</v>
      </c>
    </row>
    <row r="80" spans="1:15" ht="20.100000000000001" customHeight="1">
      <c r="A80" s="5" t="s">
        <v>165</v>
      </c>
      <c r="B80" s="4" t="s">
        <v>34</v>
      </c>
      <c r="C80" s="4" t="str">
        <f>TRIM(B80)</f>
        <v>Sam Wilson</v>
      </c>
      <c r="D80" s="2" t="s">
        <v>37</v>
      </c>
      <c r="E80" s="2">
        <v>78245</v>
      </c>
      <c r="F80" s="3">
        <v>42554</v>
      </c>
      <c r="G80" s="2">
        <v>2</v>
      </c>
      <c r="H80" s="2"/>
      <c r="I80" s="6" t="s">
        <v>166</v>
      </c>
      <c r="J80" s="19" t="str">
        <f t="shared" si="12"/>
        <v>EMP</v>
      </c>
      <c r="K80" s="23" t="str">
        <f t="shared" si="13"/>
        <v>1078</v>
      </c>
      <c r="L80" s="23" t="str">
        <f t="shared" si="14"/>
        <v>1078</v>
      </c>
      <c r="M80" s="23" t="str">
        <f t="shared" si="15"/>
        <v>SAM WILSON</v>
      </c>
      <c r="N80" s="24" t="str">
        <f t="shared" si="16"/>
        <v>sam wilson</v>
      </c>
      <c r="O80" s="24" t="str">
        <f t="shared" si="17"/>
        <v>Sam Wilson</v>
      </c>
    </row>
    <row r="81" spans="1:15" ht="20.100000000000001" customHeight="1">
      <c r="A81" s="5" t="s">
        <v>167</v>
      </c>
      <c r="B81" s="2" t="s">
        <v>36</v>
      </c>
      <c r="C81" s="2" t="str">
        <f>TRIM(B81)</f>
        <v>Chris Lee</v>
      </c>
      <c r="D81" s="2" t="s">
        <v>23</v>
      </c>
      <c r="E81" s="2">
        <v>66079</v>
      </c>
      <c r="F81" s="3">
        <v>42561</v>
      </c>
      <c r="G81" s="2">
        <v>2</v>
      </c>
      <c r="H81" s="2" t="s">
        <v>16</v>
      </c>
      <c r="I81" s="6" t="s">
        <v>168</v>
      </c>
      <c r="J81" s="19" t="str">
        <f t="shared" si="12"/>
        <v>EMP</v>
      </c>
      <c r="K81" s="23" t="str">
        <f t="shared" si="13"/>
        <v>1079</v>
      </c>
      <c r="L81" s="23" t="str">
        <f t="shared" si="14"/>
        <v>1079</v>
      </c>
      <c r="M81" s="23" t="str">
        <f t="shared" si="15"/>
        <v>CHRIS LEE</v>
      </c>
      <c r="N81" s="24" t="str">
        <f t="shared" si="16"/>
        <v>chris lee</v>
      </c>
      <c r="O81" s="24" t="str">
        <f t="shared" si="17"/>
        <v>Chris Lee</v>
      </c>
    </row>
    <row r="82" spans="1:15" ht="20.100000000000001" customHeight="1">
      <c r="A82" s="5" t="s">
        <v>169</v>
      </c>
      <c r="B82" s="2" t="s">
        <v>14</v>
      </c>
      <c r="C82" s="2" t="str">
        <f>TRIM(B82)</f>
        <v>Eve Adams</v>
      </c>
      <c r="D82" s="2" t="s">
        <v>37</v>
      </c>
      <c r="E82" s="2" t="s">
        <v>10</v>
      </c>
      <c r="F82" s="2" t="s">
        <v>11</v>
      </c>
      <c r="G82" s="2"/>
      <c r="H82" s="2"/>
      <c r="I82" s="6" t="s">
        <v>80</v>
      </c>
      <c r="J82" s="19" t="str">
        <f t="shared" si="12"/>
        <v>EMP</v>
      </c>
      <c r="K82" s="23" t="str">
        <f t="shared" si="13"/>
        <v>1080</v>
      </c>
      <c r="L82" s="23" t="str">
        <f t="shared" si="14"/>
        <v>1080</v>
      </c>
      <c r="M82" s="23" t="str">
        <f t="shared" si="15"/>
        <v>EVE ADAMS</v>
      </c>
      <c r="N82" s="24" t="str">
        <f t="shared" si="16"/>
        <v>eve adams</v>
      </c>
      <c r="O82" s="24" t="str">
        <f t="shared" si="17"/>
        <v>Eve Adams</v>
      </c>
    </row>
    <row r="83" spans="1:15" ht="20.100000000000001" customHeight="1">
      <c r="A83" s="5" t="s">
        <v>170</v>
      </c>
      <c r="B83" s="2" t="s">
        <v>27</v>
      </c>
      <c r="C83" s="2" t="str">
        <f>TRIM(B83)</f>
        <v>Jane Smith</v>
      </c>
      <c r="D83" s="2" t="s">
        <v>23</v>
      </c>
      <c r="E83" s="2">
        <v>95621</v>
      </c>
      <c r="F83" s="3">
        <v>42575</v>
      </c>
      <c r="G83" s="2">
        <v>3</v>
      </c>
      <c r="H83" s="2" t="s">
        <v>31</v>
      </c>
      <c r="I83" s="6" t="s">
        <v>171</v>
      </c>
      <c r="J83" s="19" t="str">
        <f t="shared" si="12"/>
        <v>EMP</v>
      </c>
      <c r="K83" s="23" t="str">
        <f t="shared" si="13"/>
        <v>1081</v>
      </c>
      <c r="L83" s="23" t="str">
        <f t="shared" si="14"/>
        <v>1081</v>
      </c>
      <c r="M83" s="23" t="str">
        <f t="shared" si="15"/>
        <v>JANE SMITH</v>
      </c>
      <c r="N83" s="24" t="str">
        <f t="shared" si="16"/>
        <v>jane smith</v>
      </c>
      <c r="O83" s="24" t="str">
        <f t="shared" si="17"/>
        <v>Jane Smith</v>
      </c>
    </row>
    <row r="84" spans="1:15" ht="20.100000000000001" customHeight="1">
      <c r="A84" s="5" t="s">
        <v>172</v>
      </c>
      <c r="B84" s="2" t="s">
        <v>14</v>
      </c>
      <c r="C84" s="2" t="str">
        <f>TRIM(B84)</f>
        <v>Eve Adams</v>
      </c>
      <c r="D84" s="2" t="s">
        <v>30</v>
      </c>
      <c r="E84" s="2">
        <v>42262</v>
      </c>
      <c r="F84" s="3">
        <v>42582</v>
      </c>
      <c r="G84" s="2">
        <v>1</v>
      </c>
      <c r="H84" s="2"/>
      <c r="I84" s="6" t="s">
        <v>173</v>
      </c>
      <c r="J84" s="19" t="str">
        <f t="shared" si="12"/>
        <v>EMP</v>
      </c>
      <c r="K84" s="23" t="str">
        <f t="shared" si="13"/>
        <v>1082</v>
      </c>
      <c r="L84" s="23" t="str">
        <f t="shared" si="14"/>
        <v>1082</v>
      </c>
      <c r="M84" s="23" t="str">
        <f t="shared" si="15"/>
        <v>EVE ADAMS</v>
      </c>
      <c r="N84" s="24" t="str">
        <f t="shared" si="16"/>
        <v>eve adams</v>
      </c>
      <c r="O84" s="24" t="str">
        <f t="shared" si="17"/>
        <v>Eve Adams</v>
      </c>
    </row>
    <row r="85" spans="1:15" ht="20.100000000000001" customHeight="1">
      <c r="A85" s="5" t="s">
        <v>174</v>
      </c>
      <c r="B85" s="2" t="s">
        <v>34</v>
      </c>
      <c r="C85" s="2" t="str">
        <f>TRIM(B85)</f>
        <v>Sam Wilson</v>
      </c>
      <c r="D85" s="2" t="s">
        <v>23</v>
      </c>
      <c r="E85" s="2">
        <v>99621</v>
      </c>
      <c r="F85" s="3">
        <v>42589</v>
      </c>
      <c r="G85" s="2"/>
      <c r="H85" s="2" t="s">
        <v>16</v>
      </c>
      <c r="I85" s="6" t="s">
        <v>175</v>
      </c>
      <c r="J85" s="19" t="str">
        <f t="shared" si="12"/>
        <v>EMP</v>
      </c>
      <c r="K85" s="23" t="str">
        <f t="shared" si="13"/>
        <v>1083</v>
      </c>
      <c r="L85" s="23" t="str">
        <f t="shared" si="14"/>
        <v>1083</v>
      </c>
      <c r="M85" s="23" t="str">
        <f t="shared" si="15"/>
        <v>SAM WILSON</v>
      </c>
      <c r="N85" s="24" t="str">
        <f t="shared" si="16"/>
        <v>sam wilson</v>
      </c>
      <c r="O85" s="24" t="str">
        <f t="shared" si="17"/>
        <v>Sam Wilson</v>
      </c>
    </row>
    <row r="86" spans="1:15" ht="20.100000000000001" customHeight="1">
      <c r="A86" s="5" t="s">
        <v>176</v>
      </c>
      <c r="B86" s="2" t="s">
        <v>22</v>
      </c>
      <c r="C86" s="2" t="str">
        <f>TRIM(B86)</f>
        <v>John Doe</v>
      </c>
      <c r="D86" s="2" t="s">
        <v>37</v>
      </c>
      <c r="E86" s="2">
        <v>44682</v>
      </c>
      <c r="F86" s="3">
        <v>42596</v>
      </c>
      <c r="G86" s="2">
        <v>4</v>
      </c>
      <c r="H86" s="2" t="s">
        <v>31</v>
      </c>
      <c r="I86" s="6" t="s">
        <v>105</v>
      </c>
      <c r="J86" s="19" t="str">
        <f t="shared" si="12"/>
        <v>EMP</v>
      </c>
      <c r="K86" s="23" t="str">
        <f t="shared" si="13"/>
        <v>1084</v>
      </c>
      <c r="L86" s="23" t="str">
        <f t="shared" si="14"/>
        <v>1084</v>
      </c>
      <c r="M86" s="23" t="str">
        <f t="shared" si="15"/>
        <v>JOHN DOE</v>
      </c>
      <c r="N86" s="24" t="str">
        <f t="shared" si="16"/>
        <v>john doe</v>
      </c>
      <c r="O86" s="24" t="str">
        <f t="shared" si="17"/>
        <v>John Doe</v>
      </c>
    </row>
    <row r="87" spans="1:15" ht="20.100000000000001" customHeight="1">
      <c r="A87" s="5" t="s">
        <v>177</v>
      </c>
      <c r="B87" s="2" t="s">
        <v>36</v>
      </c>
      <c r="C87" s="2" t="str">
        <f>TRIM(B87)</f>
        <v>Chris Lee</v>
      </c>
      <c r="D87" s="2" t="s">
        <v>9</v>
      </c>
      <c r="E87" s="2">
        <v>35163</v>
      </c>
      <c r="F87" s="3">
        <v>42603</v>
      </c>
      <c r="G87" s="2">
        <v>5</v>
      </c>
      <c r="H87" s="2" t="s">
        <v>16</v>
      </c>
      <c r="I87" s="6" t="s">
        <v>178</v>
      </c>
      <c r="J87" s="19" t="str">
        <f t="shared" si="12"/>
        <v>EMP</v>
      </c>
      <c r="K87" s="23" t="str">
        <f t="shared" si="13"/>
        <v>1085</v>
      </c>
      <c r="L87" s="23" t="str">
        <f t="shared" si="14"/>
        <v>1085</v>
      </c>
      <c r="M87" s="23" t="str">
        <f t="shared" si="15"/>
        <v>CHRIS LEE</v>
      </c>
      <c r="N87" s="24" t="str">
        <f t="shared" si="16"/>
        <v>chris lee</v>
      </c>
      <c r="O87" s="24" t="str">
        <f t="shared" si="17"/>
        <v>Chris Lee</v>
      </c>
    </row>
    <row r="88" spans="1:15" ht="20.100000000000001" customHeight="1">
      <c r="A88" s="5" t="s">
        <v>179</v>
      </c>
      <c r="B88" s="2" t="s">
        <v>36</v>
      </c>
      <c r="C88" s="2" t="str">
        <f>TRIM(B88)</f>
        <v>Chris Lee</v>
      </c>
      <c r="D88" s="2" t="s">
        <v>30</v>
      </c>
      <c r="E88" s="2">
        <v>33483</v>
      </c>
      <c r="F88" s="3">
        <v>42610</v>
      </c>
      <c r="G88" s="2">
        <v>4</v>
      </c>
      <c r="H88" s="2" t="s">
        <v>24</v>
      </c>
      <c r="I88" s="6" t="s">
        <v>180</v>
      </c>
      <c r="J88" s="19" t="str">
        <f t="shared" si="12"/>
        <v>EMP</v>
      </c>
      <c r="K88" s="23" t="str">
        <f t="shared" si="13"/>
        <v>1086</v>
      </c>
      <c r="L88" s="23" t="str">
        <f t="shared" si="14"/>
        <v>1086</v>
      </c>
      <c r="M88" s="23" t="str">
        <f t="shared" si="15"/>
        <v>CHRIS LEE</v>
      </c>
      <c r="N88" s="24" t="str">
        <f t="shared" si="16"/>
        <v>chris lee</v>
      </c>
      <c r="O88" s="24" t="str">
        <f t="shared" si="17"/>
        <v>Chris Lee</v>
      </c>
    </row>
    <row r="89" spans="1:15" ht="20.100000000000001" customHeight="1">
      <c r="A89" s="5" t="s">
        <v>181</v>
      </c>
      <c r="B89" s="2" t="s">
        <v>34</v>
      </c>
      <c r="C89" s="2" t="str">
        <f>TRIM(B89)</f>
        <v>Sam Wilson</v>
      </c>
      <c r="D89" s="2" t="s">
        <v>15</v>
      </c>
      <c r="E89" s="2">
        <v>55303</v>
      </c>
      <c r="F89" s="3">
        <v>42617</v>
      </c>
      <c r="G89" s="2">
        <v>4</v>
      </c>
      <c r="H89" s="2" t="s">
        <v>24</v>
      </c>
      <c r="I89" s="6" t="s">
        <v>70</v>
      </c>
      <c r="J89" s="19" t="str">
        <f t="shared" si="12"/>
        <v>EMP</v>
      </c>
      <c r="K89" s="23" t="str">
        <f t="shared" si="13"/>
        <v>1087</v>
      </c>
      <c r="L89" s="23" t="str">
        <f t="shared" si="14"/>
        <v>1087</v>
      </c>
      <c r="M89" s="23" t="str">
        <f t="shared" si="15"/>
        <v>SAM WILSON</v>
      </c>
      <c r="N89" s="24" t="str">
        <f t="shared" si="16"/>
        <v>sam wilson</v>
      </c>
      <c r="O89" s="24" t="str">
        <f t="shared" si="17"/>
        <v>Sam Wilson</v>
      </c>
    </row>
    <row r="90" spans="1:15" ht="20.100000000000001" customHeight="1">
      <c r="A90" s="5" t="s">
        <v>182</v>
      </c>
      <c r="B90" s="2" t="s">
        <v>36</v>
      </c>
      <c r="C90" s="2" t="str">
        <f>TRIM(B90)</f>
        <v>Chris Lee</v>
      </c>
      <c r="D90" s="2" t="s">
        <v>30</v>
      </c>
      <c r="E90" s="2">
        <v>63434</v>
      </c>
      <c r="F90" s="3">
        <v>42624</v>
      </c>
      <c r="G90" s="2">
        <v>3</v>
      </c>
      <c r="H90" s="2"/>
      <c r="I90" s="6" t="s">
        <v>183</v>
      </c>
      <c r="J90" s="19" t="str">
        <f t="shared" si="12"/>
        <v>EMP</v>
      </c>
      <c r="K90" s="23" t="str">
        <f t="shared" si="13"/>
        <v>1088</v>
      </c>
      <c r="L90" s="23" t="str">
        <f t="shared" si="14"/>
        <v>1088</v>
      </c>
      <c r="M90" s="23" t="str">
        <f t="shared" si="15"/>
        <v>CHRIS LEE</v>
      </c>
      <c r="N90" s="24" t="str">
        <f t="shared" si="16"/>
        <v>chris lee</v>
      </c>
      <c r="O90" s="24" t="str">
        <f t="shared" si="17"/>
        <v>Chris Lee</v>
      </c>
    </row>
    <row r="91" spans="1:15" ht="20.100000000000001" customHeight="1">
      <c r="A91" s="5" t="s">
        <v>184</v>
      </c>
      <c r="B91" s="4" t="s">
        <v>27</v>
      </c>
      <c r="C91" s="4" t="str">
        <f>TRIM(B91)</f>
        <v>Jane Smith</v>
      </c>
      <c r="D91" s="2" t="s">
        <v>37</v>
      </c>
      <c r="E91" s="2">
        <v>38830</v>
      </c>
      <c r="F91" s="3">
        <v>42631</v>
      </c>
      <c r="G91" s="2">
        <v>3</v>
      </c>
      <c r="H91" s="2" t="s">
        <v>16</v>
      </c>
      <c r="I91" s="6" t="s">
        <v>70</v>
      </c>
      <c r="J91" s="19" t="str">
        <f t="shared" si="12"/>
        <v>EMP</v>
      </c>
      <c r="K91" s="23" t="str">
        <f t="shared" si="13"/>
        <v>1089</v>
      </c>
      <c r="L91" s="23" t="str">
        <f t="shared" si="14"/>
        <v>1089</v>
      </c>
      <c r="M91" s="23" t="str">
        <f t="shared" si="15"/>
        <v>JANE SMITH</v>
      </c>
      <c r="N91" s="24" t="str">
        <f t="shared" si="16"/>
        <v>jane smith</v>
      </c>
      <c r="O91" s="24" t="str">
        <f t="shared" si="17"/>
        <v>Jane Smith</v>
      </c>
    </row>
    <row r="92" spans="1:15" ht="20.100000000000001" customHeight="1">
      <c r="A92" s="5" t="s">
        <v>185</v>
      </c>
      <c r="B92" s="2"/>
      <c r="C92" s="2" t="str">
        <f>TRIM(B92)</f>
        <v/>
      </c>
      <c r="D92" s="2" t="s">
        <v>37</v>
      </c>
      <c r="E92" s="2">
        <v>50741</v>
      </c>
      <c r="F92" s="3">
        <v>42638</v>
      </c>
      <c r="G92" s="2">
        <v>3</v>
      </c>
      <c r="H92" s="2" t="s">
        <v>11</v>
      </c>
      <c r="I92" s="6" t="s">
        <v>153</v>
      </c>
      <c r="J92" s="19" t="str">
        <f t="shared" si="12"/>
        <v>EMP</v>
      </c>
      <c r="K92" s="23" t="str">
        <f t="shared" si="13"/>
        <v>1090</v>
      </c>
      <c r="L92" s="23" t="str">
        <f t="shared" si="14"/>
        <v>1090</v>
      </c>
      <c r="M92" s="23" t="str">
        <f t="shared" si="15"/>
        <v/>
      </c>
      <c r="N92" s="24" t="str">
        <f t="shared" si="16"/>
        <v/>
      </c>
      <c r="O92" s="24" t="str">
        <f t="shared" si="17"/>
        <v/>
      </c>
    </row>
    <row r="93" spans="1:15" ht="20.100000000000001" customHeight="1">
      <c r="A93" s="5" t="s">
        <v>186</v>
      </c>
      <c r="B93" s="2" t="s">
        <v>19</v>
      </c>
      <c r="C93" s="2" t="str">
        <f>TRIM(B93)</f>
        <v>Alice Brown</v>
      </c>
      <c r="D93" s="2" t="s">
        <v>15</v>
      </c>
      <c r="E93" s="2">
        <v>69420</v>
      </c>
      <c r="F93" s="3">
        <v>42645</v>
      </c>
      <c r="G93" s="2">
        <v>1</v>
      </c>
      <c r="H93" s="2" t="s">
        <v>24</v>
      </c>
      <c r="I93" s="6" t="s">
        <v>116</v>
      </c>
      <c r="J93" s="19" t="str">
        <f t="shared" si="12"/>
        <v>EMP</v>
      </c>
      <c r="K93" s="23" t="str">
        <f t="shared" si="13"/>
        <v>1091</v>
      </c>
      <c r="L93" s="23" t="str">
        <f t="shared" si="14"/>
        <v>1091</v>
      </c>
      <c r="M93" s="23" t="str">
        <f t="shared" si="15"/>
        <v>ALICE BROWN</v>
      </c>
      <c r="N93" s="24" t="str">
        <f t="shared" si="16"/>
        <v>alice brown</v>
      </c>
      <c r="O93" s="24" t="str">
        <f t="shared" si="17"/>
        <v>Alice Brown</v>
      </c>
    </row>
    <row r="94" spans="1:15" ht="20.100000000000001" customHeight="1">
      <c r="A94" s="5" t="s">
        <v>187</v>
      </c>
      <c r="B94" s="2" t="s">
        <v>27</v>
      </c>
      <c r="C94" s="2" t="str">
        <f>TRIM(B94)</f>
        <v>Jane Smith</v>
      </c>
      <c r="D94" s="2" t="s">
        <v>30</v>
      </c>
      <c r="E94" s="2">
        <v>80588</v>
      </c>
      <c r="F94" s="3">
        <v>42652</v>
      </c>
      <c r="G94" s="2">
        <v>5</v>
      </c>
      <c r="H94" s="2" t="s">
        <v>24</v>
      </c>
      <c r="I94" s="6" t="s">
        <v>97</v>
      </c>
      <c r="J94" s="19" t="str">
        <f t="shared" si="12"/>
        <v>EMP</v>
      </c>
      <c r="K94" s="23" t="str">
        <f t="shared" si="13"/>
        <v>1092</v>
      </c>
      <c r="L94" s="23" t="str">
        <f t="shared" si="14"/>
        <v>1092</v>
      </c>
      <c r="M94" s="23" t="str">
        <f t="shared" si="15"/>
        <v>JANE SMITH</v>
      </c>
      <c r="N94" s="24" t="str">
        <f t="shared" si="16"/>
        <v>jane smith</v>
      </c>
      <c r="O94" s="24" t="str">
        <f t="shared" si="17"/>
        <v>Jane Smith</v>
      </c>
    </row>
    <row r="95" spans="1:15" ht="20.100000000000001" customHeight="1">
      <c r="A95" s="5" t="s">
        <v>188</v>
      </c>
      <c r="B95" s="4" t="s">
        <v>19</v>
      </c>
      <c r="C95" s="4" t="str">
        <f>TRIM(B95)</f>
        <v>Alice Brown</v>
      </c>
      <c r="D95" s="2" t="s">
        <v>37</v>
      </c>
      <c r="E95" s="2">
        <v>76238</v>
      </c>
      <c r="F95" s="3">
        <v>42659</v>
      </c>
      <c r="G95" s="2">
        <v>4</v>
      </c>
      <c r="H95" s="2" t="s">
        <v>24</v>
      </c>
      <c r="I95" s="6" t="s">
        <v>189</v>
      </c>
      <c r="J95" s="19" t="str">
        <f t="shared" si="12"/>
        <v>EMP</v>
      </c>
      <c r="K95" s="23" t="str">
        <f t="shared" si="13"/>
        <v>1093</v>
      </c>
      <c r="L95" s="23" t="str">
        <f t="shared" si="14"/>
        <v>1093</v>
      </c>
      <c r="M95" s="23" t="str">
        <f t="shared" si="15"/>
        <v>ALICE BROWN</v>
      </c>
      <c r="N95" s="24" t="str">
        <f t="shared" si="16"/>
        <v>alice brown</v>
      </c>
      <c r="O95" s="24" t="str">
        <f t="shared" si="17"/>
        <v>Alice Brown</v>
      </c>
    </row>
    <row r="96" spans="1:15" ht="20.100000000000001" customHeight="1">
      <c r="A96" s="5" t="s">
        <v>190</v>
      </c>
      <c r="B96" s="2" t="s">
        <v>48</v>
      </c>
      <c r="C96" s="2" t="str">
        <f>TRIM(B96)</f>
        <v>Bob Johnson</v>
      </c>
      <c r="D96" s="2" t="s">
        <v>30</v>
      </c>
      <c r="E96" s="2">
        <v>33264</v>
      </c>
      <c r="F96" s="3">
        <v>42666</v>
      </c>
      <c r="G96" s="2"/>
      <c r="H96" s="2" t="s">
        <v>31</v>
      </c>
      <c r="I96" s="6" t="s">
        <v>191</v>
      </c>
      <c r="J96" s="19" t="str">
        <f t="shared" si="12"/>
        <v>EMP</v>
      </c>
      <c r="K96" s="23" t="str">
        <f t="shared" si="13"/>
        <v>1094</v>
      </c>
      <c r="L96" s="23" t="str">
        <f t="shared" si="14"/>
        <v>1094</v>
      </c>
      <c r="M96" s="23" t="str">
        <f t="shared" si="15"/>
        <v>BOB JOHNSON</v>
      </c>
      <c r="N96" s="24" t="str">
        <f t="shared" si="16"/>
        <v>bob johnson</v>
      </c>
      <c r="O96" s="24" t="str">
        <f t="shared" si="17"/>
        <v>Bob Johnson</v>
      </c>
    </row>
    <row r="97" spans="1:15" ht="20.100000000000001" customHeight="1">
      <c r="A97" s="5" t="s">
        <v>192</v>
      </c>
      <c r="B97" s="2" t="s">
        <v>19</v>
      </c>
      <c r="C97" s="2" t="str">
        <f>TRIM(B97)</f>
        <v>Alice Brown</v>
      </c>
      <c r="D97" s="2" t="s">
        <v>9</v>
      </c>
      <c r="E97" s="2">
        <v>96101</v>
      </c>
      <c r="F97" s="3">
        <v>42673</v>
      </c>
      <c r="G97" s="2"/>
      <c r="H97" s="2" t="s">
        <v>16</v>
      </c>
      <c r="I97" s="6" t="s">
        <v>193</v>
      </c>
      <c r="J97" s="19" t="str">
        <f t="shared" si="12"/>
        <v>EMP</v>
      </c>
      <c r="K97" s="23" t="str">
        <f t="shared" si="13"/>
        <v>1095</v>
      </c>
      <c r="L97" s="23" t="str">
        <f t="shared" si="14"/>
        <v>1095</v>
      </c>
      <c r="M97" s="23" t="str">
        <f t="shared" si="15"/>
        <v>ALICE BROWN</v>
      </c>
      <c r="N97" s="24" t="str">
        <f t="shared" si="16"/>
        <v>alice brown</v>
      </c>
      <c r="O97" s="24" t="str">
        <f t="shared" si="17"/>
        <v>Alice Brown</v>
      </c>
    </row>
    <row r="98" spans="1:15" ht="20.100000000000001" customHeight="1">
      <c r="A98" s="5" t="s">
        <v>194</v>
      </c>
      <c r="B98" s="2" t="s">
        <v>27</v>
      </c>
      <c r="C98" s="2" t="str">
        <f>TRIM(B98)</f>
        <v>Jane Smith</v>
      </c>
      <c r="D98" s="2" t="s">
        <v>9</v>
      </c>
      <c r="E98" s="2">
        <v>72939</v>
      </c>
      <c r="F98" s="3">
        <v>42680</v>
      </c>
      <c r="G98" s="2">
        <v>3</v>
      </c>
      <c r="H98" s="2"/>
      <c r="I98" s="6" t="s">
        <v>195</v>
      </c>
      <c r="J98" s="19" t="str">
        <f t="shared" ref="J98:J129" si="18">LEFT(A98,3)</f>
        <v>EMP</v>
      </c>
      <c r="K98" s="23" t="str">
        <f t="shared" ref="K98:K129" si="19">MID(A98,4,4)</f>
        <v>1096</v>
      </c>
      <c r="L98" s="23" t="str">
        <f t="shared" ref="L98:L129" si="20">RIGHT(A98,4)</f>
        <v>1096</v>
      </c>
      <c r="M98" s="23" t="str">
        <f t="shared" ref="M98:M129" si="21">UPPER(C98)</f>
        <v>JANE SMITH</v>
      </c>
      <c r="N98" s="24" t="str">
        <f t="shared" ref="N98:N129" si="22">LOWER(C98)</f>
        <v>jane smith</v>
      </c>
      <c r="O98" s="24" t="str">
        <f t="shared" ref="O98:O129" si="23">PROPER(C98)</f>
        <v>Jane Smith</v>
      </c>
    </row>
    <row r="99" spans="1:15" ht="20.100000000000001" customHeight="1">
      <c r="A99" s="5" t="s">
        <v>196</v>
      </c>
      <c r="B99" s="2" t="s">
        <v>34</v>
      </c>
      <c r="C99" s="2" t="str">
        <f>TRIM(B99)</f>
        <v>Sam Wilson</v>
      </c>
      <c r="D99" s="2" t="s">
        <v>15</v>
      </c>
      <c r="E99" s="2">
        <v>89333</v>
      </c>
      <c r="F99" s="3">
        <v>42687</v>
      </c>
      <c r="G99" s="2">
        <v>1</v>
      </c>
      <c r="H99" s="2" t="s">
        <v>24</v>
      </c>
      <c r="I99" s="6" t="s">
        <v>197</v>
      </c>
      <c r="J99" s="19" t="str">
        <f t="shared" si="18"/>
        <v>EMP</v>
      </c>
      <c r="K99" s="23" t="str">
        <f t="shared" si="19"/>
        <v>1097</v>
      </c>
      <c r="L99" s="23" t="str">
        <f t="shared" si="20"/>
        <v>1097</v>
      </c>
      <c r="M99" s="23" t="str">
        <f t="shared" si="21"/>
        <v>SAM WILSON</v>
      </c>
      <c r="N99" s="24" t="str">
        <f t="shared" si="22"/>
        <v>sam wilson</v>
      </c>
      <c r="O99" s="24" t="str">
        <f t="shared" si="23"/>
        <v>Sam Wilson</v>
      </c>
    </row>
    <row r="100" spans="1:15" ht="20.100000000000001" customHeight="1">
      <c r="A100" s="5" t="s">
        <v>198</v>
      </c>
      <c r="B100" s="2" t="s">
        <v>48</v>
      </c>
      <c r="C100" s="2" t="str">
        <f>TRIM(B100)</f>
        <v>Bob Johnson</v>
      </c>
      <c r="D100" s="2" t="s">
        <v>30</v>
      </c>
      <c r="E100" s="2">
        <v>70470</v>
      </c>
      <c r="F100" s="3">
        <v>42694</v>
      </c>
      <c r="G100" s="2"/>
      <c r="H100" s="2" t="s">
        <v>24</v>
      </c>
      <c r="I100" s="6" t="s">
        <v>199</v>
      </c>
      <c r="J100" s="19" t="str">
        <f t="shared" si="18"/>
        <v>EMP</v>
      </c>
      <c r="K100" s="23" t="str">
        <f t="shared" si="19"/>
        <v>1098</v>
      </c>
      <c r="L100" s="23" t="str">
        <f t="shared" si="20"/>
        <v>1098</v>
      </c>
      <c r="M100" s="23" t="str">
        <f t="shared" si="21"/>
        <v>BOB JOHNSON</v>
      </c>
      <c r="N100" s="24" t="str">
        <f t="shared" si="22"/>
        <v>bob johnson</v>
      </c>
      <c r="O100" s="24" t="str">
        <f t="shared" si="23"/>
        <v>Bob Johnson</v>
      </c>
    </row>
    <row r="101" spans="1:15" ht="20.100000000000001" customHeight="1">
      <c r="A101" s="5" t="s">
        <v>200</v>
      </c>
      <c r="B101" s="2" t="s">
        <v>14</v>
      </c>
      <c r="C101" s="2" t="str">
        <f>TRIM(B101)</f>
        <v>Eve Adams</v>
      </c>
      <c r="D101" s="2" t="s">
        <v>37</v>
      </c>
      <c r="E101" s="2">
        <v>70096</v>
      </c>
      <c r="F101" s="3">
        <v>42701</v>
      </c>
      <c r="G101" s="2">
        <v>4</v>
      </c>
      <c r="H101" s="2" t="s">
        <v>24</v>
      </c>
      <c r="I101" s="6" t="s">
        <v>201</v>
      </c>
      <c r="J101" s="19" t="str">
        <f t="shared" si="18"/>
        <v>EMP</v>
      </c>
      <c r="K101" s="23" t="str">
        <f t="shared" si="19"/>
        <v>1099</v>
      </c>
      <c r="L101" s="23" t="str">
        <f t="shared" si="20"/>
        <v>1099</v>
      </c>
      <c r="M101" s="23" t="str">
        <f t="shared" si="21"/>
        <v>EVE ADAMS</v>
      </c>
      <c r="N101" s="24" t="str">
        <f t="shared" si="22"/>
        <v>eve adams</v>
      </c>
      <c r="O101" s="24" t="str">
        <f t="shared" si="23"/>
        <v>Eve Adams</v>
      </c>
    </row>
    <row r="102" spans="1:15" ht="20.100000000000001" customHeight="1">
      <c r="A102" s="5" t="s">
        <v>202</v>
      </c>
      <c r="B102" s="2" t="s">
        <v>48</v>
      </c>
      <c r="C102" s="2" t="str">
        <f>TRIM(B102)</f>
        <v>Bob Johnson</v>
      </c>
      <c r="D102" s="2" t="s">
        <v>37</v>
      </c>
      <c r="E102" s="2" t="s">
        <v>10</v>
      </c>
      <c r="F102" s="3">
        <v>42708</v>
      </c>
      <c r="G102" s="2">
        <v>2</v>
      </c>
      <c r="H102" s="2" t="s">
        <v>16</v>
      </c>
      <c r="I102" s="6" t="s">
        <v>203</v>
      </c>
      <c r="J102" s="19" t="str">
        <f t="shared" si="18"/>
        <v>EMP</v>
      </c>
      <c r="K102" s="23" t="str">
        <f t="shared" si="19"/>
        <v>1100</v>
      </c>
      <c r="L102" s="23" t="str">
        <f t="shared" si="20"/>
        <v>1100</v>
      </c>
      <c r="M102" s="23" t="str">
        <f t="shared" si="21"/>
        <v>BOB JOHNSON</v>
      </c>
      <c r="N102" s="24" t="str">
        <f t="shared" si="22"/>
        <v>bob johnson</v>
      </c>
      <c r="O102" s="24" t="str">
        <f t="shared" si="23"/>
        <v>Bob Johnson</v>
      </c>
    </row>
    <row r="103" spans="1:15" ht="20.100000000000001" customHeight="1">
      <c r="A103" s="5" t="s">
        <v>204</v>
      </c>
      <c r="B103" s="2" t="s">
        <v>48</v>
      </c>
      <c r="C103" s="2" t="str">
        <f>TRIM(B103)</f>
        <v>Bob Johnson</v>
      </c>
      <c r="D103" s="2" t="s">
        <v>30</v>
      </c>
      <c r="E103" s="2">
        <v>66503</v>
      </c>
      <c r="F103" s="3">
        <v>42715</v>
      </c>
      <c r="G103" s="2"/>
      <c r="H103" s="2" t="s">
        <v>24</v>
      </c>
      <c r="I103" s="6" t="s">
        <v>64</v>
      </c>
      <c r="J103" s="19" t="str">
        <f t="shared" si="18"/>
        <v>EMP</v>
      </c>
      <c r="K103" s="23" t="str">
        <f t="shared" si="19"/>
        <v>1101</v>
      </c>
      <c r="L103" s="23" t="str">
        <f t="shared" si="20"/>
        <v>1101</v>
      </c>
      <c r="M103" s="23" t="str">
        <f t="shared" si="21"/>
        <v>BOB JOHNSON</v>
      </c>
      <c r="N103" s="24" t="str">
        <f t="shared" si="22"/>
        <v>bob johnson</v>
      </c>
      <c r="O103" s="24" t="str">
        <f t="shared" si="23"/>
        <v>Bob Johnson</v>
      </c>
    </row>
    <row r="104" spans="1:15" ht="20.100000000000001" customHeight="1">
      <c r="A104" s="5" t="s">
        <v>205</v>
      </c>
      <c r="B104" s="2" t="s">
        <v>19</v>
      </c>
      <c r="C104" s="2" t="str">
        <f>TRIM(B104)</f>
        <v>Alice Brown</v>
      </c>
      <c r="D104" s="2" t="s">
        <v>15</v>
      </c>
      <c r="E104" s="2">
        <v>42096</v>
      </c>
      <c r="F104" s="3">
        <v>42722</v>
      </c>
      <c r="G104" s="2"/>
      <c r="H104" s="2" t="s">
        <v>31</v>
      </c>
      <c r="I104" s="6" t="s">
        <v>206</v>
      </c>
      <c r="J104" s="19" t="str">
        <f t="shared" si="18"/>
        <v>EMP</v>
      </c>
      <c r="K104" s="23" t="str">
        <f t="shared" si="19"/>
        <v>1102</v>
      </c>
      <c r="L104" s="23" t="str">
        <f t="shared" si="20"/>
        <v>1102</v>
      </c>
      <c r="M104" s="23" t="str">
        <f t="shared" si="21"/>
        <v>ALICE BROWN</v>
      </c>
      <c r="N104" s="24" t="str">
        <f t="shared" si="22"/>
        <v>alice brown</v>
      </c>
      <c r="O104" s="24" t="str">
        <f t="shared" si="23"/>
        <v>Alice Brown</v>
      </c>
    </row>
    <row r="105" spans="1:15" ht="20.100000000000001" customHeight="1">
      <c r="A105" s="5" t="s">
        <v>207</v>
      </c>
      <c r="B105" s="2" t="s">
        <v>19</v>
      </c>
      <c r="C105" s="2" t="str">
        <f>TRIM(B105)</f>
        <v>Alice Brown</v>
      </c>
      <c r="D105" s="4" t="s">
        <v>37</v>
      </c>
      <c r="E105" s="2">
        <v>79145</v>
      </c>
      <c r="F105" s="3">
        <v>42729</v>
      </c>
      <c r="G105" s="2">
        <v>5</v>
      </c>
      <c r="H105" s="2" t="s">
        <v>16</v>
      </c>
      <c r="I105" s="6" t="s">
        <v>111</v>
      </c>
      <c r="J105" s="19" t="str">
        <f t="shared" si="18"/>
        <v>EMP</v>
      </c>
      <c r="K105" s="23" t="str">
        <f t="shared" si="19"/>
        <v>1103</v>
      </c>
      <c r="L105" s="23" t="str">
        <f t="shared" si="20"/>
        <v>1103</v>
      </c>
      <c r="M105" s="23" t="str">
        <f t="shared" si="21"/>
        <v>ALICE BROWN</v>
      </c>
      <c r="N105" s="24" t="str">
        <f t="shared" si="22"/>
        <v>alice brown</v>
      </c>
      <c r="O105" s="24" t="str">
        <f t="shared" si="23"/>
        <v>Alice Brown</v>
      </c>
    </row>
    <row r="106" spans="1:15" ht="20.100000000000001" customHeight="1">
      <c r="A106" s="5" t="s">
        <v>208</v>
      </c>
      <c r="B106" s="4" t="s">
        <v>27</v>
      </c>
      <c r="C106" s="4" t="str">
        <f>TRIM(B106)</f>
        <v>Jane Smith</v>
      </c>
      <c r="D106" s="2" t="s">
        <v>37</v>
      </c>
      <c r="E106" s="2">
        <v>61556</v>
      </c>
      <c r="F106" s="3">
        <v>42736</v>
      </c>
      <c r="G106" s="2">
        <v>1</v>
      </c>
      <c r="H106" s="2"/>
      <c r="I106" s="6" t="s">
        <v>203</v>
      </c>
      <c r="J106" s="19" t="str">
        <f t="shared" si="18"/>
        <v>EMP</v>
      </c>
      <c r="K106" s="23" t="str">
        <f t="shared" si="19"/>
        <v>1104</v>
      </c>
      <c r="L106" s="23" t="str">
        <f t="shared" si="20"/>
        <v>1104</v>
      </c>
      <c r="M106" s="23" t="str">
        <f t="shared" si="21"/>
        <v>JANE SMITH</v>
      </c>
      <c r="N106" s="24" t="str">
        <f t="shared" si="22"/>
        <v>jane smith</v>
      </c>
      <c r="O106" s="24" t="str">
        <f t="shared" si="23"/>
        <v>Jane Smith</v>
      </c>
    </row>
    <row r="107" spans="1:15" ht="20.100000000000001" customHeight="1">
      <c r="A107" s="5" t="s">
        <v>209</v>
      </c>
      <c r="B107" s="2"/>
      <c r="C107" s="2" t="str">
        <f>TRIM(B107)</f>
        <v/>
      </c>
      <c r="D107" s="2" t="s">
        <v>15</v>
      </c>
      <c r="E107" s="2">
        <v>87963</v>
      </c>
      <c r="F107" s="3">
        <v>42743</v>
      </c>
      <c r="G107" s="2">
        <v>3</v>
      </c>
      <c r="H107" s="2" t="s">
        <v>16</v>
      </c>
      <c r="I107" s="6" t="s">
        <v>12</v>
      </c>
      <c r="J107" s="19" t="str">
        <f t="shared" si="18"/>
        <v>EMP</v>
      </c>
      <c r="K107" s="23" t="str">
        <f t="shared" si="19"/>
        <v>1105</v>
      </c>
      <c r="L107" s="23" t="str">
        <f t="shared" si="20"/>
        <v>1105</v>
      </c>
      <c r="M107" s="23" t="str">
        <f t="shared" si="21"/>
        <v/>
      </c>
      <c r="N107" s="24" t="str">
        <f t="shared" si="22"/>
        <v/>
      </c>
      <c r="O107" s="24" t="str">
        <f t="shared" si="23"/>
        <v/>
      </c>
    </row>
    <row r="108" spans="1:15" ht="20.100000000000001" customHeight="1">
      <c r="A108" s="5" t="s">
        <v>210</v>
      </c>
      <c r="B108" s="2" t="s">
        <v>14</v>
      </c>
      <c r="C108" s="2" t="str">
        <f>TRIM(B108)</f>
        <v>Eve Adams</v>
      </c>
      <c r="D108" s="2" t="s">
        <v>30</v>
      </c>
      <c r="E108" s="2">
        <v>48325</v>
      </c>
      <c r="F108" s="3">
        <v>42750</v>
      </c>
      <c r="G108" s="2"/>
      <c r="H108" s="2" t="s">
        <v>24</v>
      </c>
      <c r="I108" s="6" t="s">
        <v>211</v>
      </c>
      <c r="J108" s="19" t="str">
        <f t="shared" si="18"/>
        <v>EMP</v>
      </c>
      <c r="K108" s="23" t="str">
        <f t="shared" si="19"/>
        <v>1106</v>
      </c>
      <c r="L108" s="23" t="str">
        <f t="shared" si="20"/>
        <v>1106</v>
      </c>
      <c r="M108" s="23" t="str">
        <f t="shared" si="21"/>
        <v>EVE ADAMS</v>
      </c>
      <c r="N108" s="24" t="str">
        <f t="shared" si="22"/>
        <v>eve adams</v>
      </c>
      <c r="O108" s="24" t="str">
        <f t="shared" si="23"/>
        <v>Eve Adams</v>
      </c>
    </row>
    <row r="109" spans="1:15" ht="20.100000000000001" customHeight="1">
      <c r="A109" s="5" t="s">
        <v>212</v>
      </c>
      <c r="B109" s="2" t="s">
        <v>34</v>
      </c>
      <c r="C109" s="2" t="str">
        <f>TRIM(B109)</f>
        <v>Sam Wilson</v>
      </c>
      <c r="D109" s="2" t="s">
        <v>37</v>
      </c>
      <c r="E109" s="2">
        <v>86412</v>
      </c>
      <c r="F109" s="3">
        <v>42757</v>
      </c>
      <c r="G109" s="2">
        <v>2</v>
      </c>
      <c r="H109" s="2" t="s">
        <v>31</v>
      </c>
      <c r="I109" s="6" t="s">
        <v>68</v>
      </c>
      <c r="J109" s="19" t="str">
        <f t="shared" si="18"/>
        <v>EMP</v>
      </c>
      <c r="K109" s="23" t="str">
        <f t="shared" si="19"/>
        <v>1107</v>
      </c>
      <c r="L109" s="23" t="str">
        <f t="shared" si="20"/>
        <v>1107</v>
      </c>
      <c r="M109" s="23" t="str">
        <f t="shared" si="21"/>
        <v>SAM WILSON</v>
      </c>
      <c r="N109" s="24" t="str">
        <f t="shared" si="22"/>
        <v>sam wilson</v>
      </c>
      <c r="O109" s="24" t="str">
        <f t="shared" si="23"/>
        <v>Sam Wilson</v>
      </c>
    </row>
    <row r="110" spans="1:15" ht="20.100000000000001" customHeight="1">
      <c r="A110" s="5" t="s">
        <v>213</v>
      </c>
      <c r="B110" s="2" t="s">
        <v>34</v>
      </c>
      <c r="C110" s="2" t="str">
        <f>TRIM(B110)</f>
        <v>Sam Wilson</v>
      </c>
      <c r="D110" s="2" t="s">
        <v>15</v>
      </c>
      <c r="E110" s="2">
        <v>66761</v>
      </c>
      <c r="F110" s="3">
        <v>42764</v>
      </c>
      <c r="G110" s="2">
        <v>1</v>
      </c>
      <c r="H110" s="2"/>
      <c r="I110" s="6" t="s">
        <v>214</v>
      </c>
      <c r="J110" s="19" t="str">
        <f t="shared" si="18"/>
        <v>EMP</v>
      </c>
      <c r="K110" s="23" t="str">
        <f t="shared" si="19"/>
        <v>1108</v>
      </c>
      <c r="L110" s="23" t="str">
        <f t="shared" si="20"/>
        <v>1108</v>
      </c>
      <c r="M110" s="23" t="str">
        <f t="shared" si="21"/>
        <v>SAM WILSON</v>
      </c>
      <c r="N110" s="24" t="str">
        <f t="shared" si="22"/>
        <v>sam wilson</v>
      </c>
      <c r="O110" s="24" t="str">
        <f t="shared" si="23"/>
        <v>Sam Wilson</v>
      </c>
    </row>
    <row r="111" spans="1:15" ht="20.100000000000001" customHeight="1">
      <c r="A111" s="5" t="s">
        <v>215</v>
      </c>
      <c r="B111" s="4" t="s">
        <v>27</v>
      </c>
      <c r="C111" s="4" t="str">
        <f>TRIM(B111)</f>
        <v>Jane Smith</v>
      </c>
      <c r="D111" s="2" t="s">
        <v>37</v>
      </c>
      <c r="E111" s="2">
        <v>88850</v>
      </c>
      <c r="F111" s="3">
        <v>42771</v>
      </c>
      <c r="G111" s="2">
        <v>1</v>
      </c>
      <c r="H111" s="2" t="s">
        <v>31</v>
      </c>
      <c r="I111" s="6" t="s">
        <v>216</v>
      </c>
      <c r="J111" s="19" t="str">
        <f t="shared" si="18"/>
        <v>EMP</v>
      </c>
      <c r="K111" s="23" t="str">
        <f t="shared" si="19"/>
        <v>1109</v>
      </c>
      <c r="L111" s="23" t="str">
        <f t="shared" si="20"/>
        <v>1109</v>
      </c>
      <c r="M111" s="23" t="str">
        <f t="shared" si="21"/>
        <v>JANE SMITH</v>
      </c>
      <c r="N111" s="24" t="str">
        <f t="shared" si="22"/>
        <v>jane smith</v>
      </c>
      <c r="O111" s="24" t="str">
        <f t="shared" si="23"/>
        <v>Jane Smith</v>
      </c>
    </row>
    <row r="112" spans="1:15" ht="20.100000000000001" customHeight="1">
      <c r="A112" s="5" t="s">
        <v>217</v>
      </c>
      <c r="B112" s="2" t="s">
        <v>36</v>
      </c>
      <c r="C112" s="2" t="str">
        <f>TRIM(B112)</f>
        <v>Chris Lee</v>
      </c>
      <c r="D112" s="2" t="s">
        <v>23</v>
      </c>
      <c r="E112" s="2">
        <v>31293</v>
      </c>
      <c r="F112" s="2" t="s">
        <v>11</v>
      </c>
      <c r="G112" s="2">
        <v>2</v>
      </c>
      <c r="H112" s="2" t="s">
        <v>31</v>
      </c>
      <c r="I112" s="6" t="s">
        <v>218</v>
      </c>
      <c r="J112" s="19" t="str">
        <f t="shared" si="18"/>
        <v>EMP</v>
      </c>
      <c r="K112" s="23" t="str">
        <f t="shared" si="19"/>
        <v>1110</v>
      </c>
      <c r="L112" s="23" t="str">
        <f t="shared" si="20"/>
        <v>1110</v>
      </c>
      <c r="M112" s="23" t="str">
        <f t="shared" si="21"/>
        <v>CHRIS LEE</v>
      </c>
      <c r="N112" s="24" t="str">
        <f t="shared" si="22"/>
        <v>chris lee</v>
      </c>
      <c r="O112" s="24" t="str">
        <f t="shared" si="23"/>
        <v>Chris Lee</v>
      </c>
    </row>
    <row r="113" spans="1:15" ht="20.100000000000001" customHeight="1">
      <c r="A113" s="5" t="s">
        <v>219</v>
      </c>
      <c r="B113" s="2" t="s">
        <v>36</v>
      </c>
      <c r="C113" s="2" t="str">
        <f>TRIM(B113)</f>
        <v>Chris Lee</v>
      </c>
      <c r="D113" s="2" t="s">
        <v>30</v>
      </c>
      <c r="E113" s="2">
        <v>34306</v>
      </c>
      <c r="F113" s="3">
        <v>42785</v>
      </c>
      <c r="G113" s="2">
        <v>5</v>
      </c>
      <c r="H113" s="2" t="s">
        <v>31</v>
      </c>
      <c r="I113" s="6" t="s">
        <v>150</v>
      </c>
      <c r="J113" s="19" t="str">
        <f t="shared" si="18"/>
        <v>EMP</v>
      </c>
      <c r="K113" s="23" t="str">
        <f t="shared" si="19"/>
        <v>1111</v>
      </c>
      <c r="L113" s="23" t="str">
        <f t="shared" si="20"/>
        <v>1111</v>
      </c>
      <c r="M113" s="23" t="str">
        <f t="shared" si="21"/>
        <v>CHRIS LEE</v>
      </c>
      <c r="N113" s="24" t="str">
        <f t="shared" si="22"/>
        <v>chris lee</v>
      </c>
      <c r="O113" s="24" t="str">
        <f t="shared" si="23"/>
        <v>Chris Lee</v>
      </c>
    </row>
    <row r="114" spans="1:15" ht="20.100000000000001" customHeight="1">
      <c r="A114" s="5" t="s">
        <v>220</v>
      </c>
      <c r="B114" s="2" t="s">
        <v>14</v>
      </c>
      <c r="C114" s="2" t="str">
        <f>TRIM(B114)</f>
        <v>Eve Adams</v>
      </c>
      <c r="D114" s="2" t="s">
        <v>9</v>
      </c>
      <c r="E114" s="2">
        <v>78330</v>
      </c>
      <c r="F114" s="3">
        <v>42792</v>
      </c>
      <c r="G114" s="2"/>
      <c r="H114" s="2" t="s">
        <v>16</v>
      </c>
      <c r="I114" s="6" t="s">
        <v>201</v>
      </c>
      <c r="J114" s="19" t="str">
        <f t="shared" si="18"/>
        <v>EMP</v>
      </c>
      <c r="K114" s="23" t="str">
        <f t="shared" si="19"/>
        <v>1112</v>
      </c>
      <c r="L114" s="23" t="str">
        <f t="shared" si="20"/>
        <v>1112</v>
      </c>
      <c r="M114" s="23" t="str">
        <f t="shared" si="21"/>
        <v>EVE ADAMS</v>
      </c>
      <c r="N114" s="24" t="str">
        <f t="shared" si="22"/>
        <v>eve adams</v>
      </c>
      <c r="O114" s="24" t="str">
        <f t="shared" si="23"/>
        <v>Eve Adams</v>
      </c>
    </row>
    <row r="115" spans="1:15" ht="20.100000000000001" customHeight="1">
      <c r="A115" s="5" t="s">
        <v>221</v>
      </c>
      <c r="B115" s="2" t="s">
        <v>19</v>
      </c>
      <c r="C115" s="2" t="str">
        <f>TRIM(B115)</f>
        <v>Alice Brown</v>
      </c>
      <c r="D115" s="2" t="s">
        <v>30</v>
      </c>
      <c r="E115" s="2">
        <v>47653</v>
      </c>
      <c r="F115" s="3">
        <v>42799</v>
      </c>
      <c r="G115" s="2">
        <v>1</v>
      </c>
      <c r="H115" s="2" t="s">
        <v>24</v>
      </c>
      <c r="I115" s="6" t="s">
        <v>222</v>
      </c>
      <c r="J115" s="19" t="str">
        <f t="shared" si="18"/>
        <v>EMP</v>
      </c>
      <c r="K115" s="23" t="str">
        <f t="shared" si="19"/>
        <v>1113</v>
      </c>
      <c r="L115" s="23" t="str">
        <f t="shared" si="20"/>
        <v>1113</v>
      </c>
      <c r="M115" s="23" t="str">
        <f t="shared" si="21"/>
        <v>ALICE BROWN</v>
      </c>
      <c r="N115" s="24" t="str">
        <f t="shared" si="22"/>
        <v>alice brown</v>
      </c>
      <c r="O115" s="24" t="str">
        <f t="shared" si="23"/>
        <v>Alice Brown</v>
      </c>
    </row>
    <row r="116" spans="1:15" ht="20.100000000000001" customHeight="1">
      <c r="A116" s="5" t="s">
        <v>223</v>
      </c>
      <c r="B116" s="2" t="s">
        <v>14</v>
      </c>
      <c r="C116" s="2" t="str">
        <f>TRIM(B116)</f>
        <v>Eve Adams</v>
      </c>
      <c r="D116" s="2" t="s">
        <v>37</v>
      </c>
      <c r="E116" s="2">
        <v>44627</v>
      </c>
      <c r="F116" s="3">
        <v>42806</v>
      </c>
      <c r="G116" s="2">
        <v>4</v>
      </c>
      <c r="H116" s="2"/>
      <c r="I116" s="6" t="s">
        <v>142</v>
      </c>
      <c r="J116" s="19" t="str">
        <f t="shared" si="18"/>
        <v>EMP</v>
      </c>
      <c r="K116" s="23" t="str">
        <f t="shared" si="19"/>
        <v>1114</v>
      </c>
      <c r="L116" s="23" t="str">
        <f t="shared" si="20"/>
        <v>1114</v>
      </c>
      <c r="M116" s="23" t="str">
        <f t="shared" si="21"/>
        <v>EVE ADAMS</v>
      </c>
      <c r="N116" s="24" t="str">
        <f t="shared" si="22"/>
        <v>eve adams</v>
      </c>
      <c r="O116" s="24" t="str">
        <f t="shared" si="23"/>
        <v>Eve Adams</v>
      </c>
    </row>
    <row r="117" spans="1:15" ht="20.100000000000001" customHeight="1">
      <c r="A117" s="5" t="s">
        <v>224</v>
      </c>
      <c r="B117" s="2" t="s">
        <v>48</v>
      </c>
      <c r="C117" s="2" t="str">
        <f>TRIM(B117)</f>
        <v>Bob Johnson</v>
      </c>
      <c r="D117" s="2" t="s">
        <v>15</v>
      </c>
      <c r="E117" s="2">
        <v>92343</v>
      </c>
      <c r="F117" s="3">
        <v>42813</v>
      </c>
      <c r="G117" s="2">
        <v>4</v>
      </c>
      <c r="H117" s="2" t="s">
        <v>31</v>
      </c>
      <c r="I117" s="6" t="s">
        <v>70</v>
      </c>
      <c r="J117" s="19" t="str">
        <f t="shared" si="18"/>
        <v>EMP</v>
      </c>
      <c r="K117" s="23" t="str">
        <f t="shared" si="19"/>
        <v>1115</v>
      </c>
      <c r="L117" s="23" t="str">
        <f t="shared" si="20"/>
        <v>1115</v>
      </c>
      <c r="M117" s="23" t="str">
        <f t="shared" si="21"/>
        <v>BOB JOHNSON</v>
      </c>
      <c r="N117" s="24" t="str">
        <f t="shared" si="22"/>
        <v>bob johnson</v>
      </c>
      <c r="O117" s="24" t="str">
        <f t="shared" si="23"/>
        <v>Bob Johnson</v>
      </c>
    </row>
    <row r="118" spans="1:15" ht="20.100000000000001" customHeight="1">
      <c r="A118" s="5" t="s">
        <v>225</v>
      </c>
      <c r="B118" s="2" t="s">
        <v>48</v>
      </c>
      <c r="C118" s="2" t="str">
        <f>TRIM(B118)</f>
        <v>Bob Johnson</v>
      </c>
      <c r="D118" s="2" t="s">
        <v>37</v>
      </c>
      <c r="E118" s="2">
        <v>38837</v>
      </c>
      <c r="F118" s="3">
        <v>42820</v>
      </c>
      <c r="G118" s="2">
        <v>5</v>
      </c>
      <c r="H118" s="2" t="s">
        <v>31</v>
      </c>
      <c r="I118" s="6" t="s">
        <v>150</v>
      </c>
      <c r="J118" s="19" t="str">
        <f t="shared" si="18"/>
        <v>EMP</v>
      </c>
      <c r="K118" s="23" t="str">
        <f t="shared" si="19"/>
        <v>1116</v>
      </c>
      <c r="L118" s="23" t="str">
        <f t="shared" si="20"/>
        <v>1116</v>
      </c>
      <c r="M118" s="23" t="str">
        <f t="shared" si="21"/>
        <v>BOB JOHNSON</v>
      </c>
      <c r="N118" s="24" t="str">
        <f t="shared" si="22"/>
        <v>bob johnson</v>
      </c>
      <c r="O118" s="24" t="str">
        <f t="shared" si="23"/>
        <v>Bob Johnson</v>
      </c>
    </row>
    <row r="119" spans="1:15" ht="20.100000000000001" customHeight="1">
      <c r="A119" s="5" t="s">
        <v>226</v>
      </c>
      <c r="B119" s="2" t="s">
        <v>48</v>
      </c>
      <c r="C119" s="2" t="str">
        <f>TRIM(B119)</f>
        <v>Bob Johnson</v>
      </c>
      <c r="D119" s="4" t="s">
        <v>37</v>
      </c>
      <c r="E119" s="2">
        <v>73483</v>
      </c>
      <c r="F119" s="3">
        <v>42827</v>
      </c>
      <c r="G119" s="2">
        <v>1</v>
      </c>
      <c r="H119" s="2"/>
      <c r="I119" s="6" t="s">
        <v>227</v>
      </c>
      <c r="J119" s="19" t="str">
        <f t="shared" si="18"/>
        <v>EMP</v>
      </c>
      <c r="K119" s="23" t="str">
        <f t="shared" si="19"/>
        <v>1117</v>
      </c>
      <c r="L119" s="23" t="str">
        <f t="shared" si="20"/>
        <v>1117</v>
      </c>
      <c r="M119" s="23" t="str">
        <f t="shared" si="21"/>
        <v>BOB JOHNSON</v>
      </c>
      <c r="N119" s="24" t="str">
        <f t="shared" si="22"/>
        <v>bob johnson</v>
      </c>
      <c r="O119" s="24" t="str">
        <f t="shared" si="23"/>
        <v>Bob Johnson</v>
      </c>
    </row>
    <row r="120" spans="1:15" ht="20.100000000000001" customHeight="1">
      <c r="A120" s="5" t="s">
        <v>228</v>
      </c>
      <c r="B120" s="2" t="s">
        <v>36</v>
      </c>
      <c r="C120" s="2" t="str">
        <f>TRIM(B120)</f>
        <v>Chris Lee</v>
      </c>
      <c r="D120" s="2" t="s">
        <v>23</v>
      </c>
      <c r="E120" s="2">
        <v>95032</v>
      </c>
      <c r="F120" s="3">
        <v>42834</v>
      </c>
      <c r="G120" s="2">
        <v>3</v>
      </c>
      <c r="H120" s="2"/>
      <c r="I120" s="6" t="s">
        <v>229</v>
      </c>
      <c r="J120" s="19" t="str">
        <f t="shared" si="18"/>
        <v>EMP</v>
      </c>
      <c r="K120" s="23" t="str">
        <f t="shared" si="19"/>
        <v>1118</v>
      </c>
      <c r="L120" s="23" t="str">
        <f t="shared" si="20"/>
        <v>1118</v>
      </c>
      <c r="M120" s="23" t="str">
        <f t="shared" si="21"/>
        <v>CHRIS LEE</v>
      </c>
      <c r="N120" s="24" t="str">
        <f t="shared" si="22"/>
        <v>chris lee</v>
      </c>
      <c r="O120" s="24" t="str">
        <f t="shared" si="23"/>
        <v>Chris Lee</v>
      </c>
    </row>
    <row r="121" spans="1:15" ht="20.100000000000001" customHeight="1">
      <c r="A121" s="5" t="s">
        <v>230</v>
      </c>
      <c r="B121" s="2" t="s">
        <v>14</v>
      </c>
      <c r="C121" s="2" t="str">
        <f>TRIM(B121)</f>
        <v>Eve Adams</v>
      </c>
      <c r="D121" s="2" t="s">
        <v>23</v>
      </c>
      <c r="E121" s="2">
        <v>44358</v>
      </c>
      <c r="F121" s="3">
        <v>42841</v>
      </c>
      <c r="G121" s="2"/>
      <c r="H121" s="2" t="s">
        <v>31</v>
      </c>
      <c r="I121" s="6" t="s">
        <v>64</v>
      </c>
      <c r="J121" s="19" t="str">
        <f t="shared" si="18"/>
        <v>EMP</v>
      </c>
      <c r="K121" s="23" t="str">
        <f t="shared" si="19"/>
        <v>1119</v>
      </c>
      <c r="L121" s="23" t="str">
        <f t="shared" si="20"/>
        <v>1119</v>
      </c>
      <c r="M121" s="23" t="str">
        <f t="shared" si="21"/>
        <v>EVE ADAMS</v>
      </c>
      <c r="N121" s="24" t="str">
        <f t="shared" si="22"/>
        <v>eve adams</v>
      </c>
      <c r="O121" s="24" t="str">
        <f t="shared" si="23"/>
        <v>Eve Adams</v>
      </c>
    </row>
    <row r="122" spans="1:15" ht="20.100000000000001" customHeight="1">
      <c r="A122" s="5" t="s">
        <v>231</v>
      </c>
      <c r="B122" s="2"/>
      <c r="C122" s="2" t="str">
        <f>TRIM(B122)</f>
        <v/>
      </c>
      <c r="D122" s="2" t="s">
        <v>30</v>
      </c>
      <c r="E122" s="2" t="s">
        <v>10</v>
      </c>
      <c r="F122" s="2" t="s">
        <v>11</v>
      </c>
      <c r="G122" s="2">
        <v>5</v>
      </c>
      <c r="H122" s="2" t="s">
        <v>11</v>
      </c>
      <c r="I122" s="6" t="s">
        <v>232</v>
      </c>
      <c r="J122" s="19" t="str">
        <f t="shared" si="18"/>
        <v>EMP</v>
      </c>
      <c r="K122" s="23" t="str">
        <f t="shared" si="19"/>
        <v>1120</v>
      </c>
      <c r="L122" s="23" t="str">
        <f t="shared" si="20"/>
        <v>1120</v>
      </c>
      <c r="M122" s="23" t="str">
        <f t="shared" si="21"/>
        <v/>
      </c>
      <c r="N122" s="24" t="str">
        <f t="shared" si="22"/>
        <v/>
      </c>
      <c r="O122" s="24" t="str">
        <f t="shared" si="23"/>
        <v/>
      </c>
    </row>
    <row r="123" spans="1:15" ht="20.100000000000001" customHeight="1">
      <c r="A123" s="5" t="s">
        <v>233</v>
      </c>
      <c r="B123" s="2" t="s">
        <v>36</v>
      </c>
      <c r="C123" s="2" t="str">
        <f>TRIM(B123)</f>
        <v>Chris Lee</v>
      </c>
      <c r="D123" s="2" t="s">
        <v>23</v>
      </c>
      <c r="E123" s="2">
        <v>45676</v>
      </c>
      <c r="F123" s="3">
        <v>42855</v>
      </c>
      <c r="G123" s="2">
        <v>2</v>
      </c>
      <c r="H123" s="2"/>
      <c r="I123" s="6" t="s">
        <v>234</v>
      </c>
      <c r="J123" s="19" t="str">
        <f t="shared" si="18"/>
        <v>EMP</v>
      </c>
      <c r="K123" s="23" t="str">
        <f t="shared" si="19"/>
        <v>1121</v>
      </c>
      <c r="L123" s="23" t="str">
        <f t="shared" si="20"/>
        <v>1121</v>
      </c>
      <c r="M123" s="23" t="str">
        <f t="shared" si="21"/>
        <v>CHRIS LEE</v>
      </c>
      <c r="N123" s="24" t="str">
        <f t="shared" si="22"/>
        <v>chris lee</v>
      </c>
      <c r="O123" s="24" t="str">
        <f t="shared" si="23"/>
        <v>Chris Lee</v>
      </c>
    </row>
    <row r="124" spans="1:15" ht="20.100000000000001" customHeight="1">
      <c r="A124" s="5" t="s">
        <v>235</v>
      </c>
      <c r="B124" s="2" t="s">
        <v>48</v>
      </c>
      <c r="C124" s="2" t="str">
        <f>TRIM(B124)</f>
        <v>Bob Johnson</v>
      </c>
      <c r="D124" s="2" t="s">
        <v>23</v>
      </c>
      <c r="E124" s="2">
        <v>52036</v>
      </c>
      <c r="F124" s="3">
        <v>42862</v>
      </c>
      <c r="G124" s="2">
        <v>3</v>
      </c>
      <c r="H124" s="2" t="s">
        <v>24</v>
      </c>
      <c r="I124" s="6" t="s">
        <v>236</v>
      </c>
      <c r="J124" s="19" t="str">
        <f t="shared" si="18"/>
        <v>EMP</v>
      </c>
      <c r="K124" s="23" t="str">
        <f t="shared" si="19"/>
        <v>1122</v>
      </c>
      <c r="L124" s="23" t="str">
        <f t="shared" si="20"/>
        <v>1122</v>
      </c>
      <c r="M124" s="23" t="str">
        <f t="shared" si="21"/>
        <v>BOB JOHNSON</v>
      </c>
      <c r="N124" s="24" t="str">
        <f t="shared" si="22"/>
        <v>bob johnson</v>
      </c>
      <c r="O124" s="24" t="str">
        <f t="shared" si="23"/>
        <v>Bob Johnson</v>
      </c>
    </row>
    <row r="125" spans="1:15" ht="20.100000000000001" customHeight="1">
      <c r="A125" s="5" t="s">
        <v>237</v>
      </c>
      <c r="B125" s="4" t="s">
        <v>27</v>
      </c>
      <c r="C125" s="4" t="str">
        <f>TRIM(B125)</f>
        <v>Jane Smith</v>
      </c>
      <c r="D125" s="2" t="s">
        <v>37</v>
      </c>
      <c r="E125" s="2">
        <v>30357</v>
      </c>
      <c r="F125" s="3">
        <v>42869</v>
      </c>
      <c r="G125" s="2">
        <v>5</v>
      </c>
      <c r="H125" s="2" t="s">
        <v>24</v>
      </c>
      <c r="I125" s="6" t="s">
        <v>175</v>
      </c>
      <c r="J125" s="19" t="str">
        <f t="shared" si="18"/>
        <v>EMP</v>
      </c>
      <c r="K125" s="23" t="str">
        <f t="shared" si="19"/>
        <v>1123</v>
      </c>
      <c r="L125" s="23" t="str">
        <f t="shared" si="20"/>
        <v>1123</v>
      </c>
      <c r="M125" s="23" t="str">
        <f t="shared" si="21"/>
        <v>JANE SMITH</v>
      </c>
      <c r="N125" s="24" t="str">
        <f t="shared" si="22"/>
        <v>jane smith</v>
      </c>
      <c r="O125" s="24" t="str">
        <f t="shared" si="23"/>
        <v>Jane Smith</v>
      </c>
    </row>
    <row r="126" spans="1:15" ht="20.100000000000001" customHeight="1">
      <c r="A126" s="5" t="s">
        <v>238</v>
      </c>
      <c r="B126" s="2" t="s">
        <v>22</v>
      </c>
      <c r="C126" s="2" t="str">
        <f>TRIM(B126)</f>
        <v>John Doe</v>
      </c>
      <c r="D126" s="2" t="s">
        <v>30</v>
      </c>
      <c r="E126" s="2">
        <v>60034</v>
      </c>
      <c r="F126" s="3">
        <v>42876</v>
      </c>
      <c r="G126" s="2">
        <v>1</v>
      </c>
      <c r="H126" s="2" t="s">
        <v>31</v>
      </c>
      <c r="I126" s="6" t="s">
        <v>239</v>
      </c>
      <c r="J126" s="19" t="str">
        <f t="shared" si="18"/>
        <v>EMP</v>
      </c>
      <c r="K126" s="23" t="str">
        <f t="shared" si="19"/>
        <v>1124</v>
      </c>
      <c r="L126" s="23" t="str">
        <f t="shared" si="20"/>
        <v>1124</v>
      </c>
      <c r="M126" s="23" t="str">
        <f t="shared" si="21"/>
        <v>JOHN DOE</v>
      </c>
      <c r="N126" s="24" t="str">
        <f t="shared" si="22"/>
        <v>john doe</v>
      </c>
      <c r="O126" s="24" t="str">
        <f t="shared" si="23"/>
        <v>John Doe</v>
      </c>
    </row>
    <row r="127" spans="1:15" ht="20.100000000000001" customHeight="1">
      <c r="A127" s="5" t="s">
        <v>240</v>
      </c>
      <c r="B127" s="2" t="s">
        <v>22</v>
      </c>
      <c r="C127" s="2" t="str">
        <f>TRIM(B127)</f>
        <v>John Doe</v>
      </c>
      <c r="D127" s="2" t="s">
        <v>9</v>
      </c>
      <c r="E127" s="2">
        <v>90019</v>
      </c>
      <c r="F127" s="3">
        <v>42883</v>
      </c>
      <c r="G127" s="2">
        <v>5</v>
      </c>
      <c r="H127" s="2"/>
      <c r="I127" s="6" t="s">
        <v>241</v>
      </c>
      <c r="J127" s="19" t="str">
        <f t="shared" si="18"/>
        <v>EMP</v>
      </c>
      <c r="K127" s="23" t="str">
        <f t="shared" si="19"/>
        <v>1125</v>
      </c>
      <c r="L127" s="23" t="str">
        <f t="shared" si="20"/>
        <v>1125</v>
      </c>
      <c r="M127" s="23" t="str">
        <f t="shared" si="21"/>
        <v>JOHN DOE</v>
      </c>
      <c r="N127" s="24" t="str">
        <f t="shared" si="22"/>
        <v>john doe</v>
      </c>
      <c r="O127" s="24" t="str">
        <f t="shared" si="23"/>
        <v>John Doe</v>
      </c>
    </row>
    <row r="128" spans="1:15" ht="20.100000000000001" customHeight="1">
      <c r="A128" s="5" t="s">
        <v>242</v>
      </c>
      <c r="B128" s="4" t="s">
        <v>48</v>
      </c>
      <c r="C128" s="4" t="str">
        <f>TRIM(B128)</f>
        <v>Bob Johnson</v>
      </c>
      <c r="D128" s="2" t="s">
        <v>37</v>
      </c>
      <c r="E128" s="2">
        <v>71494</v>
      </c>
      <c r="F128" s="3">
        <v>42890</v>
      </c>
      <c r="G128" s="2">
        <v>3</v>
      </c>
      <c r="H128" s="2" t="s">
        <v>24</v>
      </c>
      <c r="I128" s="6" t="s">
        <v>243</v>
      </c>
      <c r="J128" s="19" t="str">
        <f t="shared" si="18"/>
        <v>EMP</v>
      </c>
      <c r="K128" s="23" t="str">
        <f t="shared" si="19"/>
        <v>1126</v>
      </c>
      <c r="L128" s="23" t="str">
        <f t="shared" si="20"/>
        <v>1126</v>
      </c>
      <c r="M128" s="23" t="str">
        <f t="shared" si="21"/>
        <v>BOB JOHNSON</v>
      </c>
      <c r="N128" s="24" t="str">
        <f t="shared" si="22"/>
        <v>bob johnson</v>
      </c>
      <c r="O128" s="24" t="str">
        <f t="shared" si="23"/>
        <v>Bob Johnson</v>
      </c>
    </row>
    <row r="129" spans="1:15" ht="20.100000000000001" customHeight="1">
      <c r="A129" s="5" t="s">
        <v>244</v>
      </c>
      <c r="B129" s="2" t="s">
        <v>22</v>
      </c>
      <c r="C129" s="2" t="str">
        <f>TRIM(B129)</f>
        <v>John Doe</v>
      </c>
      <c r="D129" s="2" t="s">
        <v>9</v>
      </c>
      <c r="E129" s="2">
        <v>91953</v>
      </c>
      <c r="F129" s="3">
        <v>42897</v>
      </c>
      <c r="G129" s="2">
        <v>2</v>
      </c>
      <c r="H129" s="2" t="s">
        <v>24</v>
      </c>
      <c r="I129" s="6" t="s">
        <v>82</v>
      </c>
      <c r="J129" s="19" t="str">
        <f t="shared" si="18"/>
        <v>EMP</v>
      </c>
      <c r="K129" s="23" t="str">
        <f t="shared" si="19"/>
        <v>1127</v>
      </c>
      <c r="L129" s="23" t="str">
        <f t="shared" si="20"/>
        <v>1127</v>
      </c>
      <c r="M129" s="23" t="str">
        <f t="shared" si="21"/>
        <v>JOHN DOE</v>
      </c>
      <c r="N129" s="24" t="str">
        <f t="shared" si="22"/>
        <v>john doe</v>
      </c>
      <c r="O129" s="24" t="str">
        <f t="shared" si="23"/>
        <v>John Doe</v>
      </c>
    </row>
    <row r="130" spans="1:15" ht="20.100000000000001" customHeight="1">
      <c r="A130" s="5" t="s">
        <v>245</v>
      </c>
      <c r="B130" s="2" t="s">
        <v>36</v>
      </c>
      <c r="C130" s="2" t="str">
        <f>TRIM(B130)</f>
        <v>Chris Lee</v>
      </c>
      <c r="D130" s="2" t="s">
        <v>23</v>
      </c>
      <c r="E130" s="2">
        <v>30402</v>
      </c>
      <c r="F130" s="3">
        <v>42904</v>
      </c>
      <c r="G130" s="2">
        <v>1</v>
      </c>
      <c r="H130" s="2"/>
      <c r="I130" s="6" t="s">
        <v>246</v>
      </c>
      <c r="J130" s="19" t="str">
        <f t="shared" ref="J130:J151" si="24">LEFT(A130,3)</f>
        <v>EMP</v>
      </c>
      <c r="K130" s="23" t="str">
        <f t="shared" ref="K130:K151" si="25">MID(A130,4,4)</f>
        <v>1128</v>
      </c>
      <c r="L130" s="23" t="str">
        <f t="shared" ref="L130:L151" si="26">RIGHT(A130,4)</f>
        <v>1128</v>
      </c>
      <c r="M130" s="23" t="str">
        <f t="shared" ref="M130:M151" si="27">UPPER(C130)</f>
        <v>CHRIS LEE</v>
      </c>
      <c r="N130" s="24" t="str">
        <f t="shared" ref="N130:N151" si="28">LOWER(C130)</f>
        <v>chris lee</v>
      </c>
      <c r="O130" s="24" t="str">
        <f t="shared" ref="O130:O151" si="29">PROPER(C130)</f>
        <v>Chris Lee</v>
      </c>
    </row>
    <row r="131" spans="1:15" ht="20.100000000000001" customHeight="1">
      <c r="A131" s="5" t="s">
        <v>247</v>
      </c>
      <c r="B131" s="4" t="s">
        <v>48</v>
      </c>
      <c r="C131" s="4" t="str">
        <f>TRIM(B131)</f>
        <v>Bob Johnson</v>
      </c>
      <c r="D131" s="2" t="s">
        <v>37</v>
      </c>
      <c r="E131" s="2">
        <v>62994</v>
      </c>
      <c r="F131" s="3">
        <v>42911</v>
      </c>
      <c r="G131" s="2"/>
      <c r="H131" s="2"/>
      <c r="I131" s="6" t="s">
        <v>107</v>
      </c>
      <c r="J131" s="19" t="str">
        <f t="shared" si="24"/>
        <v>EMP</v>
      </c>
      <c r="K131" s="23" t="str">
        <f t="shared" si="25"/>
        <v>1129</v>
      </c>
      <c r="L131" s="23" t="str">
        <f t="shared" si="26"/>
        <v>1129</v>
      </c>
      <c r="M131" s="23" t="str">
        <f t="shared" si="27"/>
        <v>BOB JOHNSON</v>
      </c>
      <c r="N131" s="24" t="str">
        <f t="shared" si="28"/>
        <v>bob johnson</v>
      </c>
      <c r="O131" s="24" t="str">
        <f t="shared" si="29"/>
        <v>Bob Johnson</v>
      </c>
    </row>
    <row r="132" spans="1:15" ht="20.100000000000001" customHeight="1">
      <c r="A132" s="5" t="s">
        <v>248</v>
      </c>
      <c r="B132" s="2" t="s">
        <v>19</v>
      </c>
      <c r="C132" s="2" t="str">
        <f>TRIM(B132)</f>
        <v>Alice Brown</v>
      </c>
      <c r="D132" s="2" t="s">
        <v>23</v>
      </c>
      <c r="E132" s="2">
        <v>48289</v>
      </c>
      <c r="F132" s="2" t="s">
        <v>11</v>
      </c>
      <c r="G132" s="2">
        <v>3</v>
      </c>
      <c r="H132" s="2" t="s">
        <v>24</v>
      </c>
      <c r="I132" s="6" t="s">
        <v>40</v>
      </c>
      <c r="J132" s="19" t="str">
        <f t="shared" si="24"/>
        <v>EMP</v>
      </c>
      <c r="K132" s="23" t="str">
        <f t="shared" si="25"/>
        <v>1130</v>
      </c>
      <c r="L132" s="23" t="str">
        <f t="shared" si="26"/>
        <v>1130</v>
      </c>
      <c r="M132" s="23" t="str">
        <f t="shared" si="27"/>
        <v>ALICE BROWN</v>
      </c>
      <c r="N132" s="24" t="str">
        <f t="shared" si="28"/>
        <v>alice brown</v>
      </c>
      <c r="O132" s="24" t="str">
        <f t="shared" si="29"/>
        <v>Alice Brown</v>
      </c>
    </row>
    <row r="133" spans="1:15" ht="20.100000000000001" customHeight="1">
      <c r="A133" s="5" t="s">
        <v>249</v>
      </c>
      <c r="B133" s="2" t="s">
        <v>34</v>
      </c>
      <c r="C133" s="2" t="str">
        <f>TRIM(B133)</f>
        <v>Sam Wilson</v>
      </c>
      <c r="D133" s="2" t="s">
        <v>37</v>
      </c>
      <c r="E133" s="2">
        <v>34402</v>
      </c>
      <c r="F133" s="3">
        <v>42925</v>
      </c>
      <c r="G133" s="2">
        <v>3</v>
      </c>
      <c r="H133" s="2" t="s">
        <v>16</v>
      </c>
      <c r="I133" s="6" t="s">
        <v>101</v>
      </c>
      <c r="J133" s="19" t="str">
        <f t="shared" si="24"/>
        <v>EMP</v>
      </c>
      <c r="K133" s="23" t="str">
        <f t="shared" si="25"/>
        <v>1131</v>
      </c>
      <c r="L133" s="23" t="str">
        <f t="shared" si="26"/>
        <v>1131</v>
      </c>
      <c r="M133" s="23" t="str">
        <f t="shared" si="27"/>
        <v>SAM WILSON</v>
      </c>
      <c r="N133" s="24" t="str">
        <f t="shared" si="28"/>
        <v>sam wilson</v>
      </c>
      <c r="O133" s="24" t="str">
        <f t="shared" si="29"/>
        <v>Sam Wilson</v>
      </c>
    </row>
    <row r="134" spans="1:15" ht="20.100000000000001" customHeight="1">
      <c r="A134" s="5" t="s">
        <v>250</v>
      </c>
      <c r="B134" s="2" t="s">
        <v>14</v>
      </c>
      <c r="C134" s="2" t="str">
        <f>TRIM(B134)</f>
        <v>Eve Adams</v>
      </c>
      <c r="D134" s="2" t="s">
        <v>15</v>
      </c>
      <c r="E134" s="2">
        <v>38678</v>
      </c>
      <c r="F134" s="3">
        <v>42932</v>
      </c>
      <c r="G134" s="2">
        <v>3</v>
      </c>
      <c r="H134" s="2" t="s">
        <v>16</v>
      </c>
      <c r="I134" s="6" t="s">
        <v>251</v>
      </c>
      <c r="J134" s="19" t="str">
        <f t="shared" si="24"/>
        <v>EMP</v>
      </c>
      <c r="K134" s="23" t="str">
        <f t="shared" si="25"/>
        <v>1132</v>
      </c>
      <c r="L134" s="23" t="str">
        <f t="shared" si="26"/>
        <v>1132</v>
      </c>
      <c r="M134" s="23" t="str">
        <f t="shared" si="27"/>
        <v>EVE ADAMS</v>
      </c>
      <c r="N134" s="24" t="str">
        <f t="shared" si="28"/>
        <v>eve adams</v>
      </c>
      <c r="O134" s="24" t="str">
        <f t="shared" si="29"/>
        <v>Eve Adams</v>
      </c>
    </row>
    <row r="135" spans="1:15" ht="20.100000000000001" customHeight="1">
      <c r="A135" s="5" t="s">
        <v>252</v>
      </c>
      <c r="B135" s="2" t="s">
        <v>36</v>
      </c>
      <c r="C135" s="2" t="str">
        <f>TRIM(B135)</f>
        <v>Chris Lee</v>
      </c>
      <c r="D135" s="2" t="s">
        <v>15</v>
      </c>
      <c r="E135" s="2">
        <v>45758</v>
      </c>
      <c r="F135" s="3">
        <v>42939</v>
      </c>
      <c r="G135" s="2">
        <v>3</v>
      </c>
      <c r="H135" s="2"/>
      <c r="I135" s="6" t="s">
        <v>218</v>
      </c>
      <c r="J135" s="19" t="str">
        <f t="shared" si="24"/>
        <v>EMP</v>
      </c>
      <c r="K135" s="23" t="str">
        <f t="shared" si="25"/>
        <v>1133</v>
      </c>
      <c r="L135" s="23" t="str">
        <f t="shared" si="26"/>
        <v>1133</v>
      </c>
      <c r="M135" s="23" t="str">
        <f t="shared" si="27"/>
        <v>CHRIS LEE</v>
      </c>
      <c r="N135" s="24" t="str">
        <f t="shared" si="28"/>
        <v>chris lee</v>
      </c>
      <c r="O135" s="24" t="str">
        <f t="shared" si="29"/>
        <v>Chris Lee</v>
      </c>
    </row>
    <row r="136" spans="1:15" ht="20.100000000000001" customHeight="1">
      <c r="A136" s="5" t="s">
        <v>253</v>
      </c>
      <c r="B136" s="2" t="s">
        <v>14</v>
      </c>
      <c r="C136" s="2" t="str">
        <f>TRIM(B136)</f>
        <v>Eve Adams</v>
      </c>
      <c r="D136" s="2" t="s">
        <v>37</v>
      </c>
      <c r="E136" s="2">
        <v>62476</v>
      </c>
      <c r="F136" s="3">
        <v>42946</v>
      </c>
      <c r="G136" s="2">
        <v>1</v>
      </c>
      <c r="H136" s="2" t="s">
        <v>16</v>
      </c>
      <c r="I136" s="6" t="s">
        <v>131</v>
      </c>
      <c r="J136" s="19" t="str">
        <f t="shared" si="24"/>
        <v>EMP</v>
      </c>
      <c r="K136" s="23" t="str">
        <f t="shared" si="25"/>
        <v>1134</v>
      </c>
      <c r="L136" s="23" t="str">
        <f t="shared" si="26"/>
        <v>1134</v>
      </c>
      <c r="M136" s="23" t="str">
        <f t="shared" si="27"/>
        <v>EVE ADAMS</v>
      </c>
      <c r="N136" s="24" t="str">
        <f t="shared" si="28"/>
        <v>eve adams</v>
      </c>
      <c r="O136" s="24" t="str">
        <f t="shared" si="29"/>
        <v>Eve Adams</v>
      </c>
    </row>
    <row r="137" spans="1:15" ht="20.100000000000001" customHeight="1">
      <c r="A137" s="5" t="s">
        <v>254</v>
      </c>
      <c r="B137" s="2"/>
      <c r="C137" s="2" t="str">
        <f>TRIM(B137)</f>
        <v/>
      </c>
      <c r="D137" s="2" t="s">
        <v>30</v>
      </c>
      <c r="E137" s="2">
        <v>39280</v>
      </c>
      <c r="F137" s="3">
        <v>42953</v>
      </c>
      <c r="G137" s="2">
        <v>3</v>
      </c>
      <c r="H137" s="2" t="s">
        <v>31</v>
      </c>
      <c r="I137" s="6" t="s">
        <v>92</v>
      </c>
      <c r="J137" s="19" t="str">
        <f t="shared" si="24"/>
        <v>EMP</v>
      </c>
      <c r="K137" s="23" t="str">
        <f t="shared" si="25"/>
        <v>1135</v>
      </c>
      <c r="L137" s="23" t="str">
        <f t="shared" si="26"/>
        <v>1135</v>
      </c>
      <c r="M137" s="23" t="str">
        <f t="shared" si="27"/>
        <v/>
      </c>
      <c r="N137" s="24" t="str">
        <f t="shared" si="28"/>
        <v/>
      </c>
      <c r="O137" s="24" t="str">
        <f t="shared" si="29"/>
        <v/>
      </c>
    </row>
    <row r="138" spans="1:15" ht="20.100000000000001" customHeight="1">
      <c r="A138" s="5" t="s">
        <v>255</v>
      </c>
      <c r="B138" s="2" t="s">
        <v>27</v>
      </c>
      <c r="C138" s="2" t="str">
        <f>TRIM(B138)</f>
        <v>Jane Smith</v>
      </c>
      <c r="D138" s="2" t="s">
        <v>9</v>
      </c>
      <c r="E138" s="2">
        <v>60335</v>
      </c>
      <c r="F138" s="3">
        <v>42960</v>
      </c>
      <c r="G138" s="2">
        <v>4</v>
      </c>
      <c r="H138" s="2" t="s">
        <v>16</v>
      </c>
      <c r="I138" s="6" t="s">
        <v>122</v>
      </c>
      <c r="J138" s="19" t="str">
        <f t="shared" si="24"/>
        <v>EMP</v>
      </c>
      <c r="K138" s="23" t="str">
        <f t="shared" si="25"/>
        <v>1136</v>
      </c>
      <c r="L138" s="23" t="str">
        <f t="shared" si="26"/>
        <v>1136</v>
      </c>
      <c r="M138" s="23" t="str">
        <f t="shared" si="27"/>
        <v>JANE SMITH</v>
      </c>
      <c r="N138" s="24" t="str">
        <f t="shared" si="28"/>
        <v>jane smith</v>
      </c>
      <c r="O138" s="24" t="str">
        <f t="shared" si="29"/>
        <v>Jane Smith</v>
      </c>
    </row>
    <row r="139" spans="1:15" ht="20.100000000000001" customHeight="1">
      <c r="A139" s="5" t="s">
        <v>256</v>
      </c>
      <c r="B139" s="2" t="s">
        <v>36</v>
      </c>
      <c r="C139" s="2" t="str">
        <f>TRIM(B139)</f>
        <v>Chris Lee</v>
      </c>
      <c r="D139" s="2" t="s">
        <v>15</v>
      </c>
      <c r="E139" s="2">
        <v>84968</v>
      </c>
      <c r="F139" s="3">
        <v>42967</v>
      </c>
      <c r="G139" s="2"/>
      <c r="H139" s="2"/>
      <c r="I139" s="6" t="s">
        <v>257</v>
      </c>
      <c r="J139" s="19" t="str">
        <f t="shared" si="24"/>
        <v>EMP</v>
      </c>
      <c r="K139" s="23" t="str">
        <f t="shared" si="25"/>
        <v>1137</v>
      </c>
      <c r="L139" s="23" t="str">
        <f t="shared" si="26"/>
        <v>1137</v>
      </c>
      <c r="M139" s="23" t="str">
        <f t="shared" si="27"/>
        <v>CHRIS LEE</v>
      </c>
      <c r="N139" s="24" t="str">
        <f t="shared" si="28"/>
        <v>chris lee</v>
      </c>
      <c r="O139" s="24" t="str">
        <f t="shared" si="29"/>
        <v>Chris Lee</v>
      </c>
    </row>
    <row r="140" spans="1:15" ht="20.100000000000001" customHeight="1">
      <c r="A140" s="5" t="s">
        <v>258</v>
      </c>
      <c r="B140" s="2" t="s">
        <v>36</v>
      </c>
      <c r="C140" s="2" t="str">
        <f>TRIM(B140)</f>
        <v>Chris Lee</v>
      </c>
      <c r="D140" s="2" t="s">
        <v>37</v>
      </c>
      <c r="E140" s="2">
        <v>84750</v>
      </c>
      <c r="F140" s="3">
        <v>42974</v>
      </c>
      <c r="G140" s="2">
        <v>4</v>
      </c>
      <c r="H140" s="2" t="s">
        <v>31</v>
      </c>
      <c r="I140" s="6" t="s">
        <v>54</v>
      </c>
      <c r="J140" s="19" t="str">
        <f t="shared" si="24"/>
        <v>EMP</v>
      </c>
      <c r="K140" s="23" t="str">
        <f t="shared" si="25"/>
        <v>1138</v>
      </c>
      <c r="L140" s="23" t="str">
        <f t="shared" si="26"/>
        <v>1138</v>
      </c>
      <c r="M140" s="23" t="str">
        <f t="shared" si="27"/>
        <v>CHRIS LEE</v>
      </c>
      <c r="N140" s="24" t="str">
        <f t="shared" si="28"/>
        <v>chris lee</v>
      </c>
      <c r="O140" s="24" t="str">
        <f t="shared" si="29"/>
        <v>Chris Lee</v>
      </c>
    </row>
    <row r="141" spans="1:15" ht="20.100000000000001" customHeight="1">
      <c r="A141" s="5" t="s">
        <v>259</v>
      </c>
      <c r="B141" s="2" t="s">
        <v>48</v>
      </c>
      <c r="C141" s="2" t="str">
        <f>TRIM(B141)</f>
        <v>Bob Johnson</v>
      </c>
      <c r="D141" s="2" t="s">
        <v>30</v>
      </c>
      <c r="E141" s="2">
        <v>73348</v>
      </c>
      <c r="F141" s="3">
        <v>42981</v>
      </c>
      <c r="G141" s="2">
        <v>2</v>
      </c>
      <c r="H141" s="2"/>
      <c r="I141" s="6" t="s">
        <v>164</v>
      </c>
      <c r="J141" s="19" t="str">
        <f t="shared" si="24"/>
        <v>EMP</v>
      </c>
      <c r="K141" s="23" t="str">
        <f t="shared" si="25"/>
        <v>1139</v>
      </c>
      <c r="L141" s="23" t="str">
        <f t="shared" si="26"/>
        <v>1139</v>
      </c>
      <c r="M141" s="23" t="str">
        <f t="shared" si="27"/>
        <v>BOB JOHNSON</v>
      </c>
      <c r="N141" s="24" t="str">
        <f t="shared" si="28"/>
        <v>bob johnson</v>
      </c>
      <c r="O141" s="24" t="str">
        <f t="shared" si="29"/>
        <v>Bob Johnson</v>
      </c>
    </row>
    <row r="142" spans="1:15" ht="20.100000000000001" customHeight="1">
      <c r="A142" s="5" t="s">
        <v>260</v>
      </c>
      <c r="B142" s="2" t="s">
        <v>36</v>
      </c>
      <c r="C142" s="2" t="str">
        <f>TRIM(B142)</f>
        <v>Chris Lee</v>
      </c>
      <c r="D142" s="2" t="s">
        <v>23</v>
      </c>
      <c r="E142" s="2" t="s">
        <v>10</v>
      </c>
      <c r="F142" s="3">
        <v>42988</v>
      </c>
      <c r="G142" s="2">
        <v>4</v>
      </c>
      <c r="H142" s="2" t="s">
        <v>16</v>
      </c>
      <c r="I142" s="6" t="s">
        <v>12</v>
      </c>
      <c r="J142" s="19" t="str">
        <f t="shared" si="24"/>
        <v>EMP</v>
      </c>
      <c r="K142" s="23" t="str">
        <f t="shared" si="25"/>
        <v>1140</v>
      </c>
      <c r="L142" s="23" t="str">
        <f t="shared" si="26"/>
        <v>1140</v>
      </c>
      <c r="M142" s="23" t="str">
        <f t="shared" si="27"/>
        <v>CHRIS LEE</v>
      </c>
      <c r="N142" s="24" t="str">
        <f t="shared" si="28"/>
        <v>chris lee</v>
      </c>
      <c r="O142" s="24" t="str">
        <f t="shared" si="29"/>
        <v>Chris Lee</v>
      </c>
    </row>
    <row r="143" spans="1:15" ht="20.100000000000001" customHeight="1">
      <c r="A143" s="5" t="s">
        <v>261</v>
      </c>
      <c r="B143" s="2" t="s">
        <v>27</v>
      </c>
      <c r="C143" s="2" t="str">
        <f>TRIM(B143)</f>
        <v>Jane Smith</v>
      </c>
      <c r="D143" s="2" t="s">
        <v>37</v>
      </c>
      <c r="E143" s="2">
        <v>66882</v>
      </c>
      <c r="F143" s="3">
        <v>42995</v>
      </c>
      <c r="G143" s="2">
        <v>5</v>
      </c>
      <c r="H143" s="2" t="s">
        <v>16</v>
      </c>
      <c r="I143" s="6" t="s">
        <v>78</v>
      </c>
      <c r="J143" s="19" t="str">
        <f t="shared" si="24"/>
        <v>EMP</v>
      </c>
      <c r="K143" s="23" t="str">
        <f t="shared" si="25"/>
        <v>1141</v>
      </c>
      <c r="L143" s="23" t="str">
        <f t="shared" si="26"/>
        <v>1141</v>
      </c>
      <c r="M143" s="23" t="str">
        <f t="shared" si="27"/>
        <v>JANE SMITH</v>
      </c>
      <c r="N143" s="24" t="str">
        <f t="shared" si="28"/>
        <v>jane smith</v>
      </c>
      <c r="O143" s="24" t="str">
        <f t="shared" si="29"/>
        <v>Jane Smith</v>
      </c>
    </row>
    <row r="144" spans="1:15" ht="20.100000000000001" customHeight="1">
      <c r="A144" s="5" t="s">
        <v>262</v>
      </c>
      <c r="B144" s="2" t="s">
        <v>19</v>
      </c>
      <c r="C144" s="2" t="str">
        <f>TRIM(B144)</f>
        <v>Alice Brown</v>
      </c>
      <c r="D144" s="4" t="s">
        <v>37</v>
      </c>
      <c r="E144" s="2">
        <v>86775</v>
      </c>
      <c r="F144" s="3">
        <v>43002</v>
      </c>
      <c r="G144" s="2">
        <v>3</v>
      </c>
      <c r="H144" s="2" t="s">
        <v>16</v>
      </c>
      <c r="I144" s="6" t="s">
        <v>88</v>
      </c>
      <c r="J144" s="19" t="str">
        <f t="shared" si="24"/>
        <v>EMP</v>
      </c>
      <c r="K144" s="23" t="str">
        <f t="shared" si="25"/>
        <v>1142</v>
      </c>
      <c r="L144" s="23" t="str">
        <f t="shared" si="26"/>
        <v>1142</v>
      </c>
      <c r="M144" s="23" t="str">
        <f t="shared" si="27"/>
        <v>ALICE BROWN</v>
      </c>
      <c r="N144" s="24" t="str">
        <f t="shared" si="28"/>
        <v>alice brown</v>
      </c>
      <c r="O144" s="24" t="str">
        <f t="shared" si="29"/>
        <v>Alice Brown</v>
      </c>
    </row>
    <row r="145" spans="1:15" ht="20.100000000000001" customHeight="1">
      <c r="A145" s="5" t="s">
        <v>263</v>
      </c>
      <c r="B145" s="2" t="s">
        <v>36</v>
      </c>
      <c r="C145" s="2" t="str">
        <f>TRIM(B145)</f>
        <v>Chris Lee</v>
      </c>
      <c r="D145" s="2" t="s">
        <v>23</v>
      </c>
      <c r="E145" s="2">
        <v>91620</v>
      </c>
      <c r="F145" s="3">
        <v>43009</v>
      </c>
      <c r="G145" s="2"/>
      <c r="H145" s="2"/>
      <c r="I145" s="6" t="s">
        <v>264</v>
      </c>
      <c r="J145" s="19" t="str">
        <f t="shared" si="24"/>
        <v>EMP</v>
      </c>
      <c r="K145" s="23" t="str">
        <f t="shared" si="25"/>
        <v>1143</v>
      </c>
      <c r="L145" s="23" t="str">
        <f t="shared" si="26"/>
        <v>1143</v>
      </c>
      <c r="M145" s="23" t="str">
        <f t="shared" si="27"/>
        <v>CHRIS LEE</v>
      </c>
      <c r="N145" s="24" t="str">
        <f t="shared" si="28"/>
        <v>chris lee</v>
      </c>
      <c r="O145" s="24" t="str">
        <f t="shared" si="29"/>
        <v>Chris Lee</v>
      </c>
    </row>
    <row r="146" spans="1:15" ht="20.100000000000001" customHeight="1">
      <c r="A146" s="5" t="s">
        <v>265</v>
      </c>
      <c r="B146" s="4" t="s">
        <v>14</v>
      </c>
      <c r="C146" s="4" t="str">
        <f>TRIM(B146)</f>
        <v>Eve Adams</v>
      </c>
      <c r="D146" s="2" t="s">
        <v>37</v>
      </c>
      <c r="E146" s="2">
        <v>94148</v>
      </c>
      <c r="F146" s="3">
        <v>43016</v>
      </c>
      <c r="G146" s="2">
        <v>2</v>
      </c>
      <c r="H146" s="2"/>
      <c r="I146" s="6" t="s">
        <v>266</v>
      </c>
      <c r="J146" s="19" t="str">
        <f t="shared" si="24"/>
        <v>EMP</v>
      </c>
      <c r="K146" s="23" t="str">
        <f t="shared" si="25"/>
        <v>1144</v>
      </c>
      <c r="L146" s="23" t="str">
        <f t="shared" si="26"/>
        <v>1144</v>
      </c>
      <c r="M146" s="23" t="str">
        <f t="shared" si="27"/>
        <v>EVE ADAMS</v>
      </c>
      <c r="N146" s="24" t="str">
        <f t="shared" si="28"/>
        <v>eve adams</v>
      </c>
      <c r="O146" s="24" t="str">
        <f t="shared" si="29"/>
        <v>Eve Adams</v>
      </c>
    </row>
    <row r="147" spans="1:15" ht="20.100000000000001" customHeight="1">
      <c r="A147" s="5" t="s">
        <v>267</v>
      </c>
      <c r="B147" s="2" t="s">
        <v>34</v>
      </c>
      <c r="C147" s="2" t="str">
        <f>TRIM(B147)</f>
        <v>Sam Wilson</v>
      </c>
      <c r="D147" s="2" t="s">
        <v>23</v>
      </c>
      <c r="E147" s="2">
        <v>35627</v>
      </c>
      <c r="F147" s="3">
        <v>43023</v>
      </c>
      <c r="G147" s="2">
        <v>5</v>
      </c>
      <c r="H147" s="2" t="s">
        <v>31</v>
      </c>
      <c r="I147" s="6" t="s">
        <v>251</v>
      </c>
      <c r="J147" s="19" t="str">
        <f t="shared" si="24"/>
        <v>EMP</v>
      </c>
      <c r="K147" s="23" t="str">
        <f t="shared" si="25"/>
        <v>1145</v>
      </c>
      <c r="L147" s="23" t="str">
        <f t="shared" si="26"/>
        <v>1145</v>
      </c>
      <c r="M147" s="23" t="str">
        <f t="shared" si="27"/>
        <v>SAM WILSON</v>
      </c>
      <c r="N147" s="24" t="str">
        <f t="shared" si="28"/>
        <v>sam wilson</v>
      </c>
      <c r="O147" s="24" t="str">
        <f t="shared" si="29"/>
        <v>Sam Wilson</v>
      </c>
    </row>
    <row r="148" spans="1:15" ht="20.100000000000001" customHeight="1">
      <c r="A148" s="5" t="s">
        <v>268</v>
      </c>
      <c r="B148" s="2" t="s">
        <v>22</v>
      </c>
      <c r="C148" s="2" t="str">
        <f>TRIM(B148)</f>
        <v>John Doe</v>
      </c>
      <c r="D148" s="2" t="s">
        <v>37</v>
      </c>
      <c r="E148" s="2">
        <v>57141</v>
      </c>
      <c r="F148" s="3">
        <v>43030</v>
      </c>
      <c r="G148" s="2">
        <v>2</v>
      </c>
      <c r="H148" s="2"/>
      <c r="I148" s="6" t="s">
        <v>257</v>
      </c>
      <c r="J148" s="19" t="str">
        <f t="shared" si="24"/>
        <v>EMP</v>
      </c>
      <c r="K148" s="23" t="str">
        <f t="shared" si="25"/>
        <v>1146</v>
      </c>
      <c r="L148" s="23" t="str">
        <f t="shared" si="26"/>
        <v>1146</v>
      </c>
      <c r="M148" s="23" t="str">
        <f t="shared" si="27"/>
        <v>JOHN DOE</v>
      </c>
      <c r="N148" s="24" t="str">
        <f t="shared" si="28"/>
        <v>john doe</v>
      </c>
      <c r="O148" s="24" t="str">
        <f t="shared" si="29"/>
        <v>John Doe</v>
      </c>
    </row>
    <row r="149" spans="1:15" ht="20.100000000000001" customHeight="1">
      <c r="A149" s="5" t="s">
        <v>269</v>
      </c>
      <c r="B149" s="2" t="s">
        <v>48</v>
      </c>
      <c r="C149" s="2" t="str">
        <f>TRIM(B149)</f>
        <v>Bob Johnson</v>
      </c>
      <c r="D149" s="2" t="s">
        <v>23</v>
      </c>
      <c r="E149" s="2">
        <v>65270</v>
      </c>
      <c r="F149" s="3">
        <v>43037</v>
      </c>
      <c r="G149" s="2">
        <v>1</v>
      </c>
      <c r="H149" s="2"/>
      <c r="I149" s="6" t="s">
        <v>270</v>
      </c>
      <c r="J149" s="19" t="str">
        <f t="shared" si="24"/>
        <v>EMP</v>
      </c>
      <c r="K149" s="23" t="str">
        <f t="shared" si="25"/>
        <v>1147</v>
      </c>
      <c r="L149" s="23" t="str">
        <f t="shared" si="26"/>
        <v>1147</v>
      </c>
      <c r="M149" s="23" t="str">
        <f t="shared" si="27"/>
        <v>BOB JOHNSON</v>
      </c>
      <c r="N149" s="24" t="str">
        <f t="shared" si="28"/>
        <v>bob johnson</v>
      </c>
      <c r="O149" s="24" t="str">
        <f t="shared" si="29"/>
        <v>Bob Johnson</v>
      </c>
    </row>
    <row r="150" spans="1:15" ht="20.100000000000001" customHeight="1">
      <c r="A150" s="5" t="s">
        <v>271</v>
      </c>
      <c r="B150" s="4" t="s">
        <v>48</v>
      </c>
      <c r="C150" s="4" t="str">
        <f>TRIM(B150)</f>
        <v>Bob Johnson</v>
      </c>
      <c r="D150" s="2" t="s">
        <v>37</v>
      </c>
      <c r="E150" s="2">
        <v>67335</v>
      </c>
      <c r="F150" s="3">
        <v>43044</v>
      </c>
      <c r="G150" s="2">
        <v>1</v>
      </c>
      <c r="H150" s="2" t="s">
        <v>16</v>
      </c>
      <c r="I150" s="6" t="s">
        <v>137</v>
      </c>
      <c r="J150" s="19" t="str">
        <f t="shared" si="24"/>
        <v>EMP</v>
      </c>
      <c r="K150" s="23" t="str">
        <f t="shared" si="25"/>
        <v>1148</v>
      </c>
      <c r="L150" s="23" t="str">
        <f t="shared" si="26"/>
        <v>1148</v>
      </c>
      <c r="M150" s="23" t="str">
        <f t="shared" si="27"/>
        <v>BOB JOHNSON</v>
      </c>
      <c r="N150" s="24" t="str">
        <f t="shared" si="28"/>
        <v>bob johnson</v>
      </c>
      <c r="O150" s="24" t="str">
        <f t="shared" si="29"/>
        <v>Bob Johnson</v>
      </c>
    </row>
    <row r="151" spans="1:15" ht="20.100000000000001" customHeight="1">
      <c r="A151" s="5" t="s">
        <v>272</v>
      </c>
      <c r="B151" s="7" t="s">
        <v>34</v>
      </c>
      <c r="C151" s="7" t="str">
        <f>TRIM(B151)</f>
        <v>Sam Wilson</v>
      </c>
      <c r="D151" s="7" t="s">
        <v>37</v>
      </c>
      <c r="E151" s="7">
        <v>98475</v>
      </c>
      <c r="F151" s="8">
        <v>43051</v>
      </c>
      <c r="G151" s="7">
        <v>5</v>
      </c>
      <c r="H151" s="7" t="s">
        <v>16</v>
      </c>
      <c r="I151" s="9" t="s">
        <v>273</v>
      </c>
      <c r="J151" s="21" t="str">
        <f t="shared" si="24"/>
        <v>EMP</v>
      </c>
      <c r="K151" s="23" t="str">
        <f t="shared" si="25"/>
        <v>1149</v>
      </c>
      <c r="L151" s="23" t="str">
        <f t="shared" si="26"/>
        <v>1149</v>
      </c>
      <c r="M151" s="23" t="str">
        <f t="shared" si="27"/>
        <v>SAM WILSON</v>
      </c>
      <c r="N151" s="24" t="str">
        <f t="shared" si="28"/>
        <v>sam wilson</v>
      </c>
      <c r="O151" s="24" t="str">
        <f t="shared" si="29"/>
        <v>Sam Wilson</v>
      </c>
    </row>
    <row r="154" spans="1:15" ht="20.100000000000001" customHeight="1">
      <c r="F154" s="14" t="s">
        <v>274</v>
      </c>
    </row>
    <row r="156" spans="1:15" ht="20.100000000000001" customHeight="1">
      <c r="D156" s="17" t="s">
        <v>276</v>
      </c>
      <c r="E156" s="18"/>
      <c r="F156" s="18" t="s">
        <v>280</v>
      </c>
      <c r="G156" s="18" t="s">
        <v>275</v>
      </c>
    </row>
    <row r="157" spans="1:15" ht="20.100000000000001" customHeight="1">
      <c r="D157" s="15" t="s">
        <v>277</v>
      </c>
      <c r="E157" s="15"/>
      <c r="F157" s="15" t="s">
        <v>281</v>
      </c>
      <c r="G157" s="15">
        <f>COUNTIF(E2:E151,"&gt;10000")</f>
        <v>142</v>
      </c>
    </row>
    <row r="158" spans="1:15" ht="20.100000000000001" customHeight="1">
      <c r="D158" s="15" t="s">
        <v>278</v>
      </c>
      <c r="E158" s="15"/>
      <c r="F158" s="15" t="s">
        <v>282</v>
      </c>
      <c r="G158" s="15">
        <f>SUMIF(E2:E151,"&gt;10000")</f>
        <v>9411892</v>
      </c>
    </row>
    <row r="159" spans="1:15" ht="20.100000000000001" customHeight="1">
      <c r="D159" s="15" t="s">
        <v>279</v>
      </c>
      <c r="E159" s="15"/>
      <c r="F159" s="15" t="s">
        <v>283</v>
      </c>
      <c r="G159" s="16">
        <f>AVERAGEIF(E2:E151,"&gt;10000")</f>
        <v>66280.929577464791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7" sqref="A7"/>
    </sheetView>
  </sheetViews>
  <sheetFormatPr defaultRowHeight="14.25"/>
  <sheetData>
    <row r="1" spans="1:6">
      <c r="F1" t="s">
        <v>284</v>
      </c>
    </row>
    <row r="3" spans="1:6">
      <c r="A3" t="s">
        <v>285</v>
      </c>
    </row>
    <row r="4" spans="1:6">
      <c r="A4" t="s">
        <v>286</v>
      </c>
    </row>
    <row r="5" spans="1:6">
      <c r="A5" t="s">
        <v>287</v>
      </c>
    </row>
    <row r="6" spans="1:6">
      <c r="A6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Mithuna M</dc:creator>
  <cp:lastModifiedBy>ELCOT</cp:lastModifiedBy>
  <dcterms:created xsi:type="dcterms:W3CDTF">2026-06-24T04:30:25Z</dcterms:created>
  <dcterms:modified xsi:type="dcterms:W3CDTF">2026-07-08T08:41:45Z</dcterms:modified>
</cp:coreProperties>
</file>